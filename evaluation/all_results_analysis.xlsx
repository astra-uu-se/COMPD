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gi410/Documents-Local/eclipse_workspace/plate_optimizer_test_clean/"/>
    </mc:Choice>
  </mc:AlternateContent>
  <xr:revisionPtr revIDLastSave="0" documentId="13_ncr:1_{5E8ECE29-2063-FD43-BF66-75B097B4F942}" xr6:coauthVersionLast="47" xr6:coauthVersionMax="47" xr10:uidLastSave="{00000000-0000-0000-0000-000000000000}"/>
  <bookViews>
    <workbookView xWindow="80" yWindow="680" windowWidth="25440" windowHeight="14780" xr2:uid="{EF26E87D-F2C7-CC4E-892A-8810060D84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7" i="1" l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Y67" i="1"/>
  <c r="X67" i="1"/>
  <c r="W67" i="1"/>
  <c r="V67" i="1"/>
  <c r="U67" i="1"/>
  <c r="Y66" i="1"/>
  <c r="X66" i="1"/>
  <c r="W66" i="1"/>
  <c r="V66" i="1"/>
  <c r="U66" i="1"/>
  <c r="Y65" i="1"/>
  <c r="X65" i="1"/>
  <c r="W65" i="1"/>
  <c r="V65" i="1"/>
  <c r="U65" i="1"/>
  <c r="Y64" i="1"/>
  <c r="X64" i="1"/>
  <c r="W64" i="1"/>
  <c r="V64" i="1"/>
  <c r="U64" i="1"/>
  <c r="Y63" i="1"/>
  <c r="X63" i="1"/>
  <c r="W63" i="1"/>
  <c r="V63" i="1"/>
  <c r="U63" i="1"/>
  <c r="Y62" i="1"/>
  <c r="X62" i="1"/>
  <c r="W62" i="1"/>
  <c r="V62" i="1"/>
  <c r="U62" i="1"/>
  <c r="Y61" i="1"/>
  <c r="X61" i="1"/>
  <c r="W61" i="1"/>
  <c r="V61" i="1"/>
  <c r="U61" i="1"/>
  <c r="Y60" i="1"/>
  <c r="X60" i="1"/>
  <c r="W60" i="1"/>
  <c r="V60" i="1"/>
  <c r="U60" i="1"/>
  <c r="Y59" i="1"/>
  <c r="X59" i="1"/>
  <c r="W59" i="1"/>
  <c r="V59" i="1"/>
  <c r="U59" i="1"/>
  <c r="Y58" i="1"/>
  <c r="X58" i="1"/>
  <c r="W58" i="1"/>
  <c r="V58" i="1"/>
  <c r="U58" i="1"/>
  <c r="Y57" i="1"/>
  <c r="X57" i="1"/>
  <c r="W57" i="1"/>
  <c r="V57" i="1"/>
  <c r="U57" i="1"/>
  <c r="Y56" i="1"/>
  <c r="X56" i="1"/>
  <c r="W56" i="1"/>
  <c r="V56" i="1"/>
  <c r="U56" i="1"/>
  <c r="Y55" i="1"/>
  <c r="X55" i="1"/>
  <c r="W55" i="1"/>
  <c r="V55" i="1"/>
  <c r="U55" i="1"/>
  <c r="Y54" i="1"/>
  <c r="X54" i="1"/>
  <c r="W54" i="1"/>
  <c r="V54" i="1"/>
  <c r="U54" i="1"/>
  <c r="Y53" i="1"/>
  <c r="X53" i="1"/>
  <c r="W53" i="1"/>
  <c r="V53" i="1"/>
  <c r="U53" i="1"/>
  <c r="Y52" i="1"/>
  <c r="X52" i="1"/>
  <c r="W52" i="1"/>
  <c r="V52" i="1"/>
  <c r="U52" i="1"/>
  <c r="Y51" i="1"/>
  <c r="X51" i="1"/>
  <c r="W51" i="1"/>
  <c r="V51" i="1"/>
  <c r="U51" i="1"/>
  <c r="Y50" i="1"/>
  <c r="X50" i="1"/>
  <c r="W50" i="1"/>
  <c r="V50" i="1"/>
  <c r="U50" i="1"/>
  <c r="Y49" i="1"/>
  <c r="X49" i="1"/>
  <c r="W49" i="1"/>
  <c r="V49" i="1"/>
  <c r="U49" i="1"/>
  <c r="Y48" i="1"/>
  <c r="X48" i="1"/>
  <c r="W48" i="1"/>
  <c r="V48" i="1"/>
  <c r="U48" i="1"/>
  <c r="Y47" i="1"/>
  <c r="X47" i="1"/>
  <c r="W47" i="1"/>
  <c r="V47" i="1"/>
  <c r="U47" i="1"/>
  <c r="Y46" i="1"/>
  <c r="X46" i="1"/>
  <c r="W46" i="1"/>
  <c r="V46" i="1"/>
  <c r="U46" i="1"/>
  <c r="Y45" i="1"/>
  <c r="X45" i="1"/>
  <c r="W45" i="1"/>
  <c r="V45" i="1"/>
  <c r="U45" i="1"/>
  <c r="Y44" i="1"/>
  <c r="X44" i="1"/>
  <c r="W44" i="1"/>
  <c r="V44" i="1"/>
  <c r="U44" i="1"/>
  <c r="Y43" i="1"/>
  <c r="X43" i="1"/>
  <c r="W43" i="1"/>
  <c r="V43" i="1"/>
  <c r="U43" i="1"/>
  <c r="Y42" i="1"/>
  <c r="X42" i="1"/>
  <c r="W42" i="1"/>
  <c r="V42" i="1"/>
  <c r="U42" i="1"/>
  <c r="Y41" i="1"/>
  <c r="X41" i="1"/>
  <c r="W41" i="1"/>
  <c r="V41" i="1"/>
  <c r="U41" i="1"/>
  <c r="Y40" i="1"/>
  <c r="X40" i="1"/>
  <c r="W40" i="1"/>
  <c r="V40" i="1"/>
  <c r="U40" i="1"/>
  <c r="Y39" i="1"/>
  <c r="X39" i="1"/>
  <c r="W39" i="1"/>
  <c r="V39" i="1"/>
  <c r="U39" i="1"/>
  <c r="Y38" i="1"/>
  <c r="X38" i="1"/>
  <c r="W38" i="1"/>
  <c r="V38" i="1"/>
  <c r="U38" i="1"/>
  <c r="Y37" i="1"/>
  <c r="X37" i="1"/>
  <c r="W37" i="1"/>
  <c r="V37" i="1"/>
  <c r="U37" i="1"/>
  <c r="Y36" i="1"/>
  <c r="X36" i="1"/>
  <c r="W36" i="1"/>
  <c r="V36" i="1"/>
  <c r="U36" i="1"/>
  <c r="Y35" i="1"/>
  <c r="X35" i="1"/>
  <c r="W35" i="1"/>
  <c r="V35" i="1"/>
  <c r="U35" i="1"/>
  <c r="Y34" i="1"/>
  <c r="X34" i="1"/>
  <c r="W34" i="1"/>
  <c r="V34" i="1"/>
  <c r="U34" i="1"/>
  <c r="Y33" i="1"/>
  <c r="X33" i="1"/>
  <c r="W33" i="1"/>
  <c r="V33" i="1"/>
  <c r="U33" i="1"/>
  <c r="Y32" i="1"/>
  <c r="X32" i="1"/>
  <c r="W32" i="1"/>
  <c r="V32" i="1"/>
  <c r="U32" i="1"/>
  <c r="Y31" i="1"/>
  <c r="X31" i="1"/>
  <c r="W31" i="1"/>
  <c r="V31" i="1"/>
  <c r="U31" i="1"/>
  <c r="Y30" i="1"/>
  <c r="X30" i="1"/>
  <c r="W30" i="1"/>
  <c r="V30" i="1"/>
  <c r="U30" i="1"/>
  <c r="Y29" i="1"/>
  <c r="X29" i="1"/>
  <c r="W29" i="1"/>
  <c r="V29" i="1"/>
  <c r="U29" i="1"/>
  <c r="Y28" i="1"/>
  <c r="X28" i="1"/>
  <c r="W28" i="1"/>
  <c r="V28" i="1"/>
  <c r="U28" i="1"/>
  <c r="Y27" i="1"/>
  <c r="X27" i="1"/>
  <c r="W27" i="1"/>
  <c r="V27" i="1"/>
  <c r="U27" i="1"/>
  <c r="Y26" i="1"/>
  <c r="X26" i="1"/>
  <c r="W26" i="1"/>
  <c r="V26" i="1"/>
  <c r="U26" i="1"/>
  <c r="Y25" i="1"/>
  <c r="X25" i="1"/>
  <c r="W25" i="1"/>
  <c r="V25" i="1"/>
  <c r="U25" i="1"/>
  <c r="Y24" i="1"/>
  <c r="X24" i="1"/>
  <c r="W24" i="1"/>
  <c r="V24" i="1"/>
  <c r="U24" i="1"/>
  <c r="Y23" i="1"/>
  <c r="X23" i="1"/>
  <c r="W23" i="1"/>
  <c r="V23" i="1"/>
  <c r="U23" i="1"/>
  <c r="Y22" i="1"/>
  <c r="X22" i="1"/>
  <c r="W22" i="1"/>
  <c r="V22" i="1"/>
  <c r="U22" i="1"/>
  <c r="Y21" i="1"/>
  <c r="X21" i="1"/>
  <c r="W21" i="1"/>
  <c r="V21" i="1"/>
  <c r="U21" i="1"/>
  <c r="Y20" i="1"/>
  <c r="X20" i="1"/>
  <c r="W20" i="1"/>
  <c r="V20" i="1"/>
  <c r="U20" i="1"/>
  <c r="Y19" i="1"/>
  <c r="X19" i="1"/>
  <c r="W19" i="1"/>
  <c r="V19" i="1"/>
  <c r="U19" i="1"/>
  <c r="Y18" i="1"/>
  <c r="X18" i="1"/>
  <c r="W18" i="1"/>
  <c r="V18" i="1"/>
  <c r="U18" i="1"/>
  <c r="Y17" i="1"/>
  <c r="X17" i="1"/>
  <c r="W17" i="1"/>
  <c r="V17" i="1"/>
  <c r="U17" i="1"/>
  <c r="Y16" i="1"/>
  <c r="X16" i="1"/>
  <c r="W16" i="1"/>
  <c r="V16" i="1"/>
  <c r="U16" i="1"/>
  <c r="Y15" i="1"/>
  <c r="X15" i="1"/>
  <c r="W15" i="1"/>
  <c r="V15" i="1"/>
  <c r="U15" i="1"/>
  <c r="Y14" i="1"/>
  <c r="X14" i="1"/>
  <c r="W14" i="1"/>
  <c r="V14" i="1"/>
  <c r="U14" i="1"/>
  <c r="Y13" i="1"/>
  <c r="X13" i="1"/>
  <c r="W13" i="1"/>
  <c r="V13" i="1"/>
  <c r="U13" i="1"/>
  <c r="Y12" i="1"/>
  <c r="X12" i="1"/>
  <c r="W12" i="1"/>
  <c r="V12" i="1"/>
  <c r="U12" i="1"/>
  <c r="Y11" i="1"/>
  <c r="X11" i="1"/>
  <c r="W11" i="1"/>
  <c r="V11" i="1"/>
  <c r="U11" i="1"/>
  <c r="Y10" i="1"/>
  <c r="X10" i="1"/>
  <c r="W10" i="1"/>
  <c r="V10" i="1"/>
  <c r="U10" i="1"/>
  <c r="Y9" i="1"/>
  <c r="X9" i="1"/>
  <c r="W9" i="1"/>
  <c r="V9" i="1"/>
  <c r="U9" i="1"/>
  <c r="Y8" i="1"/>
  <c r="X8" i="1"/>
  <c r="W8" i="1"/>
  <c r="V8" i="1"/>
  <c r="U8" i="1"/>
  <c r="Y7" i="1"/>
  <c r="X7" i="1"/>
  <c r="W7" i="1"/>
  <c r="V7" i="1"/>
  <c r="U7" i="1"/>
  <c r="Y6" i="1"/>
  <c r="X6" i="1"/>
  <c r="W6" i="1"/>
  <c r="V6" i="1"/>
  <c r="U6" i="1"/>
  <c r="Y5" i="1"/>
  <c r="X5" i="1"/>
  <c r="W5" i="1"/>
  <c r="V5" i="1"/>
  <c r="U5" i="1"/>
  <c r="Y4" i="1"/>
  <c r="X4" i="1"/>
  <c r="W4" i="1"/>
  <c r="V4" i="1"/>
  <c r="U4" i="1"/>
  <c r="Y3" i="1"/>
  <c r="X3" i="1"/>
  <c r="W3" i="1"/>
  <c r="V3" i="1"/>
  <c r="U3" i="1"/>
  <c r="Y2" i="1"/>
  <c r="X2" i="1"/>
  <c r="W2" i="1"/>
  <c r="V2" i="1"/>
  <c r="U2" i="1"/>
  <c r="S67" i="1"/>
  <c r="R67" i="1"/>
  <c r="Q67" i="1"/>
  <c r="P67" i="1"/>
  <c r="O67" i="1"/>
  <c r="S66" i="1"/>
  <c r="R66" i="1"/>
  <c r="Q66" i="1"/>
  <c r="P66" i="1"/>
  <c r="O66" i="1"/>
  <c r="S65" i="1"/>
  <c r="R65" i="1"/>
  <c r="Q65" i="1"/>
  <c r="P65" i="1"/>
  <c r="O65" i="1"/>
  <c r="S64" i="1"/>
  <c r="R64" i="1"/>
  <c r="Q64" i="1"/>
  <c r="P64" i="1"/>
  <c r="O64" i="1"/>
  <c r="S63" i="1"/>
  <c r="R63" i="1"/>
  <c r="Q63" i="1"/>
  <c r="P63" i="1"/>
  <c r="O63" i="1"/>
  <c r="S62" i="1"/>
  <c r="R62" i="1"/>
  <c r="Q62" i="1"/>
  <c r="P62" i="1"/>
  <c r="O62" i="1"/>
  <c r="S61" i="1"/>
  <c r="R61" i="1"/>
  <c r="Q61" i="1"/>
  <c r="P61" i="1"/>
  <c r="O61" i="1"/>
  <c r="S60" i="1"/>
  <c r="R60" i="1"/>
  <c r="Q60" i="1"/>
  <c r="P60" i="1"/>
  <c r="O60" i="1"/>
  <c r="S59" i="1"/>
  <c r="R59" i="1"/>
  <c r="Q59" i="1"/>
  <c r="P59" i="1"/>
  <c r="O59" i="1"/>
  <c r="S58" i="1"/>
  <c r="R58" i="1"/>
  <c r="Q58" i="1"/>
  <c r="P58" i="1"/>
  <c r="O58" i="1"/>
  <c r="S57" i="1"/>
  <c r="R57" i="1"/>
  <c r="Q57" i="1"/>
  <c r="P57" i="1"/>
  <c r="O57" i="1"/>
  <c r="S56" i="1"/>
  <c r="R56" i="1"/>
  <c r="Q56" i="1"/>
  <c r="P56" i="1"/>
  <c r="O56" i="1"/>
  <c r="S55" i="1"/>
  <c r="R55" i="1"/>
  <c r="Q55" i="1"/>
  <c r="P55" i="1"/>
  <c r="O55" i="1"/>
  <c r="S54" i="1"/>
  <c r="R54" i="1"/>
  <c r="Q54" i="1"/>
  <c r="P54" i="1"/>
  <c r="O54" i="1"/>
  <c r="S53" i="1"/>
  <c r="R53" i="1"/>
  <c r="Q53" i="1"/>
  <c r="P53" i="1"/>
  <c r="O53" i="1"/>
  <c r="S52" i="1"/>
  <c r="R52" i="1"/>
  <c r="Q52" i="1"/>
  <c r="P52" i="1"/>
  <c r="O52" i="1"/>
  <c r="S51" i="1"/>
  <c r="R51" i="1"/>
  <c r="Q51" i="1"/>
  <c r="P51" i="1"/>
  <c r="O51" i="1"/>
  <c r="S50" i="1"/>
  <c r="R50" i="1"/>
  <c r="Q50" i="1"/>
  <c r="P50" i="1"/>
  <c r="O50" i="1"/>
  <c r="S49" i="1"/>
  <c r="R49" i="1"/>
  <c r="Q49" i="1"/>
  <c r="P49" i="1"/>
  <c r="O49" i="1"/>
  <c r="S48" i="1"/>
  <c r="R48" i="1"/>
  <c r="Q48" i="1"/>
  <c r="P48" i="1"/>
  <c r="O48" i="1"/>
  <c r="S47" i="1"/>
  <c r="R47" i="1"/>
  <c r="Q47" i="1"/>
  <c r="P47" i="1"/>
  <c r="O47" i="1"/>
  <c r="S46" i="1"/>
  <c r="R46" i="1"/>
  <c r="Q46" i="1"/>
  <c r="P46" i="1"/>
  <c r="O46" i="1"/>
  <c r="S45" i="1"/>
  <c r="R45" i="1"/>
  <c r="Q45" i="1"/>
  <c r="P45" i="1"/>
  <c r="O45" i="1"/>
  <c r="S44" i="1"/>
  <c r="R44" i="1"/>
  <c r="Q44" i="1"/>
  <c r="P44" i="1"/>
  <c r="O44" i="1"/>
  <c r="S43" i="1"/>
  <c r="R43" i="1"/>
  <c r="Q43" i="1"/>
  <c r="P43" i="1"/>
  <c r="O43" i="1"/>
  <c r="S42" i="1"/>
  <c r="R42" i="1"/>
  <c r="Q42" i="1"/>
  <c r="P42" i="1"/>
  <c r="O42" i="1"/>
  <c r="S41" i="1"/>
  <c r="R41" i="1"/>
  <c r="Q41" i="1"/>
  <c r="P41" i="1"/>
  <c r="O41" i="1"/>
  <c r="S40" i="1"/>
  <c r="R40" i="1"/>
  <c r="Q40" i="1"/>
  <c r="P40" i="1"/>
  <c r="O40" i="1"/>
  <c r="S39" i="1"/>
  <c r="R39" i="1"/>
  <c r="Q39" i="1"/>
  <c r="P39" i="1"/>
  <c r="O39" i="1"/>
  <c r="S38" i="1"/>
  <c r="R38" i="1"/>
  <c r="Q38" i="1"/>
  <c r="P38" i="1"/>
  <c r="O38" i="1"/>
  <c r="S37" i="1"/>
  <c r="R37" i="1"/>
  <c r="Q37" i="1"/>
  <c r="P37" i="1"/>
  <c r="O37" i="1"/>
  <c r="S36" i="1"/>
  <c r="R36" i="1"/>
  <c r="Q36" i="1"/>
  <c r="P36" i="1"/>
  <c r="O36" i="1"/>
  <c r="S35" i="1"/>
  <c r="R35" i="1"/>
  <c r="Q35" i="1"/>
  <c r="P35" i="1"/>
  <c r="O35" i="1"/>
  <c r="S34" i="1"/>
  <c r="R34" i="1"/>
  <c r="Q34" i="1"/>
  <c r="P34" i="1"/>
  <c r="O34" i="1"/>
  <c r="S33" i="1"/>
  <c r="R33" i="1"/>
  <c r="Q33" i="1"/>
  <c r="P33" i="1"/>
  <c r="O33" i="1"/>
  <c r="S32" i="1"/>
  <c r="R32" i="1"/>
  <c r="Q32" i="1"/>
  <c r="P32" i="1"/>
  <c r="O32" i="1"/>
  <c r="S31" i="1"/>
  <c r="R31" i="1"/>
  <c r="Q31" i="1"/>
  <c r="P31" i="1"/>
  <c r="O31" i="1"/>
  <c r="S30" i="1"/>
  <c r="R30" i="1"/>
  <c r="Q30" i="1"/>
  <c r="P30" i="1"/>
  <c r="O30" i="1"/>
  <c r="S29" i="1"/>
  <c r="R29" i="1"/>
  <c r="Q29" i="1"/>
  <c r="P29" i="1"/>
  <c r="O29" i="1"/>
  <c r="S28" i="1"/>
  <c r="R28" i="1"/>
  <c r="Q28" i="1"/>
  <c r="P28" i="1"/>
  <c r="O28" i="1"/>
  <c r="S27" i="1"/>
  <c r="R27" i="1"/>
  <c r="Q27" i="1"/>
  <c r="P27" i="1"/>
  <c r="O27" i="1"/>
  <c r="S26" i="1"/>
  <c r="R26" i="1"/>
  <c r="Q26" i="1"/>
  <c r="P26" i="1"/>
  <c r="O26" i="1"/>
  <c r="S25" i="1"/>
  <c r="R25" i="1"/>
  <c r="Q25" i="1"/>
  <c r="P25" i="1"/>
  <c r="O25" i="1"/>
  <c r="S24" i="1"/>
  <c r="R24" i="1"/>
  <c r="Q24" i="1"/>
  <c r="P24" i="1"/>
  <c r="O24" i="1"/>
  <c r="S23" i="1"/>
  <c r="R23" i="1"/>
  <c r="Q23" i="1"/>
  <c r="P23" i="1"/>
  <c r="O23" i="1"/>
  <c r="S22" i="1"/>
  <c r="R22" i="1"/>
  <c r="Q22" i="1"/>
  <c r="P22" i="1"/>
  <c r="O22" i="1"/>
  <c r="S21" i="1"/>
  <c r="R21" i="1"/>
  <c r="Q21" i="1"/>
  <c r="P21" i="1"/>
  <c r="O21" i="1"/>
  <c r="S20" i="1"/>
  <c r="R20" i="1"/>
  <c r="Q20" i="1"/>
  <c r="P20" i="1"/>
  <c r="O20" i="1"/>
  <c r="S19" i="1"/>
  <c r="R19" i="1"/>
  <c r="Q19" i="1"/>
  <c r="P19" i="1"/>
  <c r="O19" i="1"/>
  <c r="S18" i="1"/>
  <c r="R18" i="1"/>
  <c r="Q18" i="1"/>
  <c r="P18" i="1"/>
  <c r="O18" i="1"/>
  <c r="S17" i="1"/>
  <c r="R17" i="1"/>
  <c r="Q17" i="1"/>
  <c r="P17" i="1"/>
  <c r="O17" i="1"/>
  <c r="S16" i="1"/>
  <c r="R16" i="1"/>
  <c r="Q16" i="1"/>
  <c r="P16" i="1"/>
  <c r="O16" i="1"/>
  <c r="S15" i="1"/>
  <c r="R15" i="1"/>
  <c r="Q15" i="1"/>
  <c r="P15" i="1"/>
  <c r="O15" i="1"/>
  <c r="S14" i="1"/>
  <c r="R14" i="1"/>
  <c r="Q14" i="1"/>
  <c r="P14" i="1"/>
  <c r="O14" i="1"/>
  <c r="S13" i="1"/>
  <c r="R13" i="1"/>
  <c r="Q13" i="1"/>
  <c r="P13" i="1"/>
  <c r="O13" i="1"/>
  <c r="S12" i="1"/>
  <c r="R12" i="1"/>
  <c r="Q12" i="1"/>
  <c r="P12" i="1"/>
  <c r="O12" i="1"/>
  <c r="S11" i="1"/>
  <c r="R11" i="1"/>
  <c r="Q11" i="1"/>
  <c r="P11" i="1"/>
  <c r="O11" i="1"/>
  <c r="S10" i="1"/>
  <c r="R10" i="1"/>
  <c r="Q10" i="1"/>
  <c r="P10" i="1"/>
  <c r="O10" i="1"/>
  <c r="S9" i="1"/>
  <c r="R9" i="1"/>
  <c r="Q9" i="1"/>
  <c r="P9" i="1"/>
  <c r="O9" i="1"/>
  <c r="S8" i="1"/>
  <c r="R8" i="1"/>
  <c r="Q8" i="1"/>
  <c r="P8" i="1"/>
  <c r="O8" i="1"/>
  <c r="S7" i="1"/>
  <c r="R7" i="1"/>
  <c r="Q7" i="1"/>
  <c r="P7" i="1"/>
  <c r="O7" i="1"/>
  <c r="S6" i="1"/>
  <c r="R6" i="1"/>
  <c r="Q6" i="1"/>
  <c r="P6" i="1"/>
  <c r="O6" i="1"/>
  <c r="S5" i="1"/>
  <c r="R5" i="1"/>
  <c r="Q5" i="1"/>
  <c r="P5" i="1"/>
  <c r="O5" i="1"/>
  <c r="S4" i="1"/>
  <c r="R4" i="1"/>
  <c r="Q4" i="1"/>
  <c r="P4" i="1"/>
  <c r="O4" i="1"/>
  <c r="S3" i="1"/>
  <c r="R3" i="1"/>
  <c r="Q3" i="1"/>
  <c r="P3" i="1"/>
  <c r="O3" i="1"/>
  <c r="P2" i="1"/>
  <c r="Q2" i="1"/>
  <c r="R2" i="1"/>
  <c r="S2" i="1"/>
  <c r="O2" i="1"/>
  <c r="L67" i="1"/>
  <c r="K67" i="1"/>
  <c r="J67" i="1"/>
  <c r="I67" i="1"/>
  <c r="H67" i="1"/>
</calcChain>
</file>

<file path=xl/sharedStrings.xml><?xml version="1.0" encoding="utf-8"?>
<sst xmlns="http://schemas.openxmlformats.org/spreadsheetml/2006/main" count="77" uniqueCount="77">
  <si>
    <t>file name</t>
  </si>
  <si>
    <t>n_ l</t>
  </si>
  <si>
    <t>m_l</t>
  </si>
  <si>
    <t>P</t>
  </si>
  <si>
    <t>M</t>
  </si>
  <si>
    <t>Q</t>
  </si>
  <si>
    <t>Time (PLAID), s</t>
  </si>
  <si>
    <t>Energy (PLAID)</t>
  </si>
  <si>
    <t>Energy (Random)</t>
  </si>
  <si>
    <t>Energy (COMPD, GECODE 30m)</t>
  </si>
  <si>
    <t>Energy (COMPD, Chuffed 30m)</t>
  </si>
  <si>
    <t>Energy (COMPD, hybrid, 15m)</t>
  </si>
  <si>
    <t>test-plate-001</t>
  </si>
  <si>
    <t>test-plate-002</t>
  </si>
  <si>
    <t>test-plate-003</t>
  </si>
  <si>
    <t>test-plate-004</t>
  </si>
  <si>
    <t>test-plate-005</t>
  </si>
  <si>
    <t>test-plate-006</t>
  </si>
  <si>
    <t>test-plate-007</t>
  </si>
  <si>
    <t>test-plate-008</t>
  </si>
  <si>
    <t>test-plate-009</t>
  </si>
  <si>
    <t>test-plate-010</t>
  </si>
  <si>
    <t>test-plate-011</t>
  </si>
  <si>
    <t>test-plate-012</t>
  </si>
  <si>
    <t>test-plate-013</t>
  </si>
  <si>
    <t>test-plate-014</t>
  </si>
  <si>
    <t>test-plate-015</t>
  </si>
  <si>
    <t>test-plate-016</t>
  </si>
  <si>
    <t>test-plate-017</t>
  </si>
  <si>
    <t>test-plate-018</t>
  </si>
  <si>
    <t>test-plate-019</t>
  </si>
  <si>
    <t>test-plate-020</t>
  </si>
  <si>
    <t>test-plate-021</t>
  </si>
  <si>
    <t>test-plate-022</t>
  </si>
  <si>
    <t>test-plate-023</t>
  </si>
  <si>
    <t>test-plate-024</t>
  </si>
  <si>
    <t>test-plate-025</t>
  </si>
  <si>
    <t>test-plate-026</t>
  </si>
  <si>
    <t>test-plate-027</t>
  </si>
  <si>
    <t>test-plate-028</t>
  </si>
  <si>
    <t>test-plate-029</t>
  </si>
  <si>
    <t>test-plate-030</t>
  </si>
  <si>
    <t>test-plate-031</t>
  </si>
  <si>
    <t>test-plate-032</t>
  </si>
  <si>
    <t>test-plate-033</t>
  </si>
  <si>
    <t>test-plate-034</t>
  </si>
  <si>
    <t>test-plate-035</t>
  </si>
  <si>
    <t>test-plate-036</t>
  </si>
  <si>
    <t>test-plate-037</t>
  </si>
  <si>
    <t>test-plate-038</t>
  </si>
  <si>
    <t>test-plate-039</t>
  </si>
  <si>
    <t>test-plate-040</t>
  </si>
  <si>
    <t>test-plate-041</t>
  </si>
  <si>
    <t>test-plate-042</t>
  </si>
  <si>
    <t>test-plate-043</t>
  </si>
  <si>
    <t>test-plate-044</t>
  </si>
  <si>
    <t>test-plate-045</t>
  </si>
  <si>
    <t>test-plate-046</t>
  </si>
  <si>
    <t>test-plate-047</t>
  </si>
  <si>
    <t>test-plate-048</t>
  </si>
  <si>
    <t>test-plate-049</t>
  </si>
  <si>
    <t>test-plate-050</t>
  </si>
  <si>
    <t>test-plate-051</t>
  </si>
  <si>
    <t>test-plate-052</t>
  </si>
  <si>
    <t>test-plate-053</t>
  </si>
  <si>
    <t>test-plate-054</t>
  </si>
  <si>
    <t>test-plate-055</t>
  </si>
  <si>
    <t>test-plate-056</t>
  </si>
  <si>
    <t>test-plate-057</t>
  </si>
  <si>
    <t>test-plate-058</t>
  </si>
  <si>
    <t>test-plate-059</t>
  </si>
  <si>
    <t>test-plate-060</t>
  </si>
  <si>
    <t>test-plate-061</t>
  </si>
  <si>
    <t>test-plate-062</t>
  </si>
  <si>
    <t>test-plate-063</t>
  </si>
  <si>
    <t>test-plate-064</t>
  </si>
  <si>
    <t>test-plate-065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</si>
</sst>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Liberation Sans"/>
    </font>
    <font>
      <sz val="10"/>
      <color rgb="FF000000"/>
      <name val="Menlo-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86DB-BBA3-D64D-B910-36336FECB6CE}">
  <dimension ref="A1:AE67"/>
  <sheetViews>
    <sheetView tabSelected="1" topLeftCell="M56" workbookViewId="0">
      <selection activeCell="AA73" sqref="AA73"/>
    </sheetView>
  </sheetViews>
  <sheetFormatPr baseColWidth="10" defaultRowHeight="16"/>
  <cols>
    <col min="1" max="1" width="15.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31">
      <c r="A2" s="2" t="s">
        <v>12</v>
      </c>
      <c r="B2" s="1">
        <v>1</v>
      </c>
      <c r="C2" s="1">
        <v>6</v>
      </c>
      <c r="D2" s="1">
        <v>1</v>
      </c>
      <c r="E2" s="1">
        <v>5</v>
      </c>
      <c r="F2" s="1">
        <v>6</v>
      </c>
      <c r="G2" s="1">
        <v>0</v>
      </c>
      <c r="H2" s="1">
        <v>10000000</v>
      </c>
      <c r="I2" s="1">
        <v>2.12</v>
      </c>
      <c r="J2" s="1">
        <v>2.08</v>
      </c>
      <c r="K2" s="1">
        <v>2.08</v>
      </c>
      <c r="L2" s="1">
        <v>2.08</v>
      </c>
      <c r="O2" t="b">
        <f>(H2=MIN($H2:$L2))</f>
        <v>0</v>
      </c>
      <c r="P2" t="b">
        <f t="shared" ref="P2:S2" si="0">(I2=MIN($H2:$L2))</f>
        <v>0</v>
      </c>
      <c r="Q2" t="b">
        <f t="shared" si="0"/>
        <v>1</v>
      </c>
      <c r="R2" t="b">
        <f t="shared" si="0"/>
        <v>1</v>
      </c>
      <c r="S2" t="b">
        <f t="shared" si="0"/>
        <v>1</v>
      </c>
      <c r="U2" t="b">
        <f>(H2=MAX($H2:$L2))</f>
        <v>1</v>
      </c>
      <c r="V2" t="b">
        <f t="shared" ref="V2:V65" si="1">(I2=MAX($H2:$L2))</f>
        <v>0</v>
      </c>
      <c r="W2" t="b">
        <f t="shared" ref="W2:W65" si="2">(J2=MAX($H2:$L2))</f>
        <v>0</v>
      </c>
      <c r="X2" t="b">
        <f t="shared" ref="X2:X65" si="3">(K2=MAX($H2:$L2))</f>
        <v>0</v>
      </c>
      <c r="Y2" t="b">
        <f t="shared" ref="Y2:Y65" si="4">(L2=MAX($H2:$L2))</f>
        <v>0</v>
      </c>
      <c r="AA2" t="b">
        <f>(MIN(H2:I2)&gt;MIN(J2:L2))</f>
        <v>1</v>
      </c>
      <c r="AC2" t="b">
        <f>(J2&lt;MIN(K2,L2))</f>
        <v>0</v>
      </c>
      <c r="AD2" t="b">
        <f>(K2&lt;MIN(J2,L2))</f>
        <v>0</v>
      </c>
      <c r="AE2" t="b">
        <f>(L2&lt;MIN(J2,K2))</f>
        <v>0</v>
      </c>
    </row>
    <row r="3" spans="1:31">
      <c r="A3" s="2" t="s">
        <v>13</v>
      </c>
      <c r="B3" s="1">
        <v>2</v>
      </c>
      <c r="C3" s="1">
        <v>4</v>
      </c>
      <c r="D3" s="1">
        <v>1</v>
      </c>
      <c r="E3" s="1">
        <v>6</v>
      </c>
      <c r="F3" s="1">
        <v>8</v>
      </c>
      <c r="G3" s="1">
        <v>0</v>
      </c>
      <c r="H3" s="1">
        <v>10000000</v>
      </c>
      <c r="I3" s="1">
        <v>0.99</v>
      </c>
      <c r="J3" s="1">
        <v>0.9</v>
      </c>
      <c r="K3" s="1">
        <v>0.87</v>
      </c>
      <c r="L3" s="1">
        <v>0.87</v>
      </c>
      <c r="O3" t="b">
        <f t="shared" ref="O3:O66" si="5">(H3=MIN($H3:$L3))</f>
        <v>0</v>
      </c>
      <c r="P3" t="b">
        <f t="shared" ref="P3:P66" si="6">(I3=MIN($H3:$L3))</f>
        <v>0</v>
      </c>
      <c r="Q3" t="b">
        <f t="shared" ref="Q3:Q66" si="7">(J3=MIN($H3:$L3))</f>
        <v>0</v>
      </c>
      <c r="R3" t="b">
        <f t="shared" ref="R3:R66" si="8">(K3=MIN($H3:$L3))</f>
        <v>1</v>
      </c>
      <c r="S3" t="b">
        <f t="shared" ref="S3:S66" si="9">(L3=MIN($H3:$L3))</f>
        <v>1</v>
      </c>
      <c r="U3" t="b">
        <f t="shared" ref="U3:U66" si="10">(H3=MAX($H3:$L3))</f>
        <v>1</v>
      </c>
      <c r="V3" t="b">
        <f t="shared" si="1"/>
        <v>0</v>
      </c>
      <c r="W3" t="b">
        <f t="shared" si="2"/>
        <v>0</v>
      </c>
      <c r="X3" t="b">
        <f t="shared" si="3"/>
        <v>0</v>
      </c>
      <c r="Y3" t="b">
        <f t="shared" si="4"/>
        <v>0</v>
      </c>
      <c r="AA3" t="b">
        <f t="shared" ref="AA3:AA66" si="11">(MIN(H3:I3)&gt;MIN(J3:L3))</f>
        <v>1</v>
      </c>
      <c r="AC3" t="b">
        <f t="shared" ref="AC3:AC66" si="12">(J3&lt;MIN(K3,L3))</f>
        <v>0</v>
      </c>
      <c r="AD3" t="b">
        <f t="shared" ref="AD3:AD66" si="13">(K3&lt;MIN(J3,L3))</f>
        <v>0</v>
      </c>
      <c r="AE3" t="b">
        <f t="shared" ref="AE3:AE66" si="14">(L3&lt;MIN(J3,K3))</f>
        <v>0</v>
      </c>
    </row>
    <row r="4" spans="1:31">
      <c r="A4" s="2" t="s">
        <v>14</v>
      </c>
      <c r="B4" s="1">
        <v>6</v>
      </c>
      <c r="C4" s="1">
        <v>10</v>
      </c>
      <c r="D4" s="1">
        <v>1</v>
      </c>
      <c r="E4" s="1">
        <v>5</v>
      </c>
      <c r="F4" s="1">
        <v>11</v>
      </c>
      <c r="G4" s="1">
        <v>0.47</v>
      </c>
      <c r="H4" s="1">
        <v>0.71</v>
      </c>
      <c r="I4" s="1">
        <v>1.02</v>
      </c>
      <c r="J4" s="1">
        <v>0.74</v>
      </c>
      <c r="K4" s="1">
        <v>0.75</v>
      </c>
      <c r="L4" s="1">
        <v>0.78</v>
      </c>
      <c r="O4" t="b">
        <f t="shared" si="5"/>
        <v>1</v>
      </c>
      <c r="P4" t="b">
        <f t="shared" si="6"/>
        <v>0</v>
      </c>
      <c r="Q4" t="b">
        <f t="shared" si="7"/>
        <v>0</v>
      </c>
      <c r="R4" t="b">
        <f t="shared" si="8"/>
        <v>0</v>
      </c>
      <c r="S4" t="b">
        <f t="shared" si="9"/>
        <v>0</v>
      </c>
      <c r="U4" t="b">
        <f t="shared" si="10"/>
        <v>0</v>
      </c>
      <c r="V4" t="b">
        <f t="shared" si="1"/>
        <v>1</v>
      </c>
      <c r="W4" t="b">
        <f t="shared" si="2"/>
        <v>0</v>
      </c>
      <c r="X4" t="b">
        <f t="shared" si="3"/>
        <v>0</v>
      </c>
      <c r="Y4" t="b">
        <f t="shared" si="4"/>
        <v>0</v>
      </c>
      <c r="AA4" t="b">
        <f t="shared" si="11"/>
        <v>0</v>
      </c>
      <c r="AC4" t="b">
        <f t="shared" si="12"/>
        <v>1</v>
      </c>
      <c r="AD4" t="b">
        <f t="shared" si="13"/>
        <v>0</v>
      </c>
      <c r="AE4" t="b">
        <f t="shared" si="14"/>
        <v>0</v>
      </c>
    </row>
    <row r="5" spans="1:31">
      <c r="A5" s="2" t="s">
        <v>15</v>
      </c>
      <c r="B5" s="1">
        <v>4</v>
      </c>
      <c r="C5" s="1">
        <v>6</v>
      </c>
      <c r="D5" s="1">
        <v>1</v>
      </c>
      <c r="E5" s="1">
        <v>14</v>
      </c>
      <c r="F5" s="1">
        <v>14</v>
      </c>
      <c r="G5" s="1">
        <v>0.27</v>
      </c>
      <c r="H5" s="1">
        <v>2.63</v>
      </c>
      <c r="I5" s="1">
        <v>2.6</v>
      </c>
      <c r="J5" s="1">
        <v>2.48</v>
      </c>
      <c r="K5" s="1">
        <v>2.31</v>
      </c>
      <c r="L5" s="1">
        <v>2.46</v>
      </c>
      <c r="O5" t="b">
        <f t="shared" si="5"/>
        <v>0</v>
      </c>
      <c r="P5" t="b">
        <f t="shared" si="6"/>
        <v>0</v>
      </c>
      <c r="Q5" t="b">
        <f t="shared" si="7"/>
        <v>0</v>
      </c>
      <c r="R5" t="b">
        <f t="shared" si="8"/>
        <v>1</v>
      </c>
      <c r="S5" t="b">
        <f t="shared" si="9"/>
        <v>0</v>
      </c>
      <c r="U5" t="b">
        <f t="shared" si="10"/>
        <v>1</v>
      </c>
      <c r="V5" t="b">
        <f t="shared" si="1"/>
        <v>0</v>
      </c>
      <c r="W5" t="b">
        <f t="shared" si="2"/>
        <v>0</v>
      </c>
      <c r="X5" t="b">
        <f t="shared" si="3"/>
        <v>0</v>
      </c>
      <c r="Y5" t="b">
        <f t="shared" si="4"/>
        <v>0</v>
      </c>
      <c r="AA5" t="b">
        <f t="shared" si="11"/>
        <v>1</v>
      </c>
      <c r="AC5" t="b">
        <f t="shared" si="12"/>
        <v>0</v>
      </c>
      <c r="AD5" t="b">
        <f t="shared" si="13"/>
        <v>1</v>
      </c>
      <c r="AE5" t="b">
        <f t="shared" si="14"/>
        <v>0</v>
      </c>
    </row>
    <row r="6" spans="1:31">
      <c r="A6" s="2" t="s">
        <v>16</v>
      </c>
      <c r="B6" s="1">
        <v>8</v>
      </c>
      <c r="C6" s="1">
        <v>12</v>
      </c>
      <c r="D6" s="1">
        <v>1</v>
      </c>
      <c r="E6" s="1">
        <v>5</v>
      </c>
      <c r="F6" s="1">
        <v>15</v>
      </c>
      <c r="G6" s="1">
        <v>0.62</v>
      </c>
      <c r="H6" s="1">
        <v>0.7</v>
      </c>
      <c r="I6" s="1">
        <v>1.57</v>
      </c>
      <c r="J6" s="1">
        <v>0.74</v>
      </c>
      <c r="K6" s="1">
        <v>0.73</v>
      </c>
      <c r="L6" s="1">
        <v>0.72</v>
      </c>
      <c r="O6" t="b">
        <f t="shared" si="5"/>
        <v>1</v>
      </c>
      <c r="P6" t="b">
        <f t="shared" si="6"/>
        <v>0</v>
      </c>
      <c r="Q6" t="b">
        <f t="shared" si="7"/>
        <v>0</v>
      </c>
      <c r="R6" t="b">
        <f t="shared" si="8"/>
        <v>0</v>
      </c>
      <c r="S6" t="b">
        <f t="shared" si="9"/>
        <v>0</v>
      </c>
      <c r="U6" t="b">
        <f t="shared" si="10"/>
        <v>0</v>
      </c>
      <c r="V6" t="b">
        <f t="shared" si="1"/>
        <v>1</v>
      </c>
      <c r="W6" t="b">
        <f t="shared" si="2"/>
        <v>0</v>
      </c>
      <c r="X6" t="b">
        <f t="shared" si="3"/>
        <v>0</v>
      </c>
      <c r="Y6" t="b">
        <f t="shared" si="4"/>
        <v>0</v>
      </c>
      <c r="AA6" t="b">
        <f t="shared" si="11"/>
        <v>0</v>
      </c>
      <c r="AC6" t="b">
        <f t="shared" si="12"/>
        <v>0</v>
      </c>
      <c r="AD6" t="b">
        <f t="shared" si="13"/>
        <v>0</v>
      </c>
      <c r="AE6" t="b">
        <f t="shared" si="14"/>
        <v>1</v>
      </c>
    </row>
    <row r="7" spans="1:31">
      <c r="A7" s="2" t="s">
        <v>17</v>
      </c>
      <c r="B7" s="1">
        <v>4</v>
      </c>
      <c r="C7" s="1">
        <v>8</v>
      </c>
      <c r="D7" s="1">
        <v>1</v>
      </c>
      <c r="E7" s="1">
        <v>12</v>
      </c>
      <c r="F7" s="1">
        <v>32</v>
      </c>
      <c r="G7" s="1">
        <v>0.36</v>
      </c>
      <c r="H7" s="1">
        <v>4.74</v>
      </c>
      <c r="I7" s="1">
        <v>5.72</v>
      </c>
      <c r="J7" s="1">
        <v>4.71</v>
      </c>
      <c r="K7" s="1">
        <v>4.79</v>
      </c>
      <c r="L7" s="1">
        <v>4.7300000000000004</v>
      </c>
      <c r="O7" t="b">
        <f t="shared" si="5"/>
        <v>0</v>
      </c>
      <c r="P7" t="b">
        <f t="shared" si="6"/>
        <v>0</v>
      </c>
      <c r="Q7" t="b">
        <f t="shared" si="7"/>
        <v>1</v>
      </c>
      <c r="R7" t="b">
        <f t="shared" si="8"/>
        <v>0</v>
      </c>
      <c r="S7" t="b">
        <f t="shared" si="9"/>
        <v>0</v>
      </c>
      <c r="U7" t="b">
        <f t="shared" si="10"/>
        <v>0</v>
      </c>
      <c r="V7" t="b">
        <f t="shared" si="1"/>
        <v>1</v>
      </c>
      <c r="W7" t="b">
        <f t="shared" si="2"/>
        <v>0</v>
      </c>
      <c r="X7" t="b">
        <f t="shared" si="3"/>
        <v>0</v>
      </c>
      <c r="Y7" t="b">
        <f t="shared" si="4"/>
        <v>0</v>
      </c>
      <c r="AA7" t="b">
        <f t="shared" si="11"/>
        <v>1</v>
      </c>
      <c r="AC7" t="b">
        <f t="shared" si="12"/>
        <v>1</v>
      </c>
      <c r="AD7" t="b">
        <f t="shared" si="13"/>
        <v>0</v>
      </c>
      <c r="AE7" t="b">
        <f t="shared" si="14"/>
        <v>0</v>
      </c>
    </row>
    <row r="8" spans="1:31">
      <c r="A8" s="2" t="s">
        <v>18</v>
      </c>
      <c r="B8" s="1">
        <v>2</v>
      </c>
      <c r="C8" s="1">
        <v>4</v>
      </c>
      <c r="D8" s="1">
        <v>4</v>
      </c>
      <c r="E8" s="1">
        <v>12</v>
      </c>
      <c r="F8" s="1">
        <v>32</v>
      </c>
      <c r="G8" s="1">
        <v>0.39</v>
      </c>
      <c r="H8" s="1">
        <v>9.35</v>
      </c>
      <c r="I8" s="1">
        <v>4.83</v>
      </c>
      <c r="J8" s="1">
        <v>4.93</v>
      </c>
      <c r="K8" s="1">
        <v>5.14</v>
      </c>
      <c r="L8" s="1">
        <v>4.93</v>
      </c>
      <c r="O8" t="b">
        <f t="shared" si="5"/>
        <v>0</v>
      </c>
      <c r="P8" t="b">
        <f t="shared" si="6"/>
        <v>1</v>
      </c>
      <c r="Q8" t="b">
        <f t="shared" si="7"/>
        <v>0</v>
      </c>
      <c r="R8" t="b">
        <f t="shared" si="8"/>
        <v>0</v>
      </c>
      <c r="S8" t="b">
        <f t="shared" si="9"/>
        <v>0</v>
      </c>
      <c r="U8" t="b">
        <f t="shared" si="10"/>
        <v>1</v>
      </c>
      <c r="V8" t="b">
        <f t="shared" si="1"/>
        <v>0</v>
      </c>
      <c r="W8" t="b">
        <f t="shared" si="2"/>
        <v>0</v>
      </c>
      <c r="X8" t="b">
        <f t="shared" si="3"/>
        <v>0</v>
      </c>
      <c r="Y8" t="b">
        <f t="shared" si="4"/>
        <v>0</v>
      </c>
      <c r="AA8" t="b">
        <f t="shared" si="11"/>
        <v>0</v>
      </c>
      <c r="AC8" t="b">
        <f t="shared" si="12"/>
        <v>0</v>
      </c>
      <c r="AD8" t="b">
        <f t="shared" si="13"/>
        <v>0</v>
      </c>
      <c r="AE8" t="b">
        <f t="shared" si="14"/>
        <v>0</v>
      </c>
    </row>
    <row r="9" spans="1:31">
      <c r="A9" s="2" t="s">
        <v>19</v>
      </c>
      <c r="B9" s="1">
        <v>2</v>
      </c>
      <c r="C9" s="1">
        <v>4</v>
      </c>
      <c r="D9" s="1">
        <v>4</v>
      </c>
      <c r="E9" s="1">
        <v>14</v>
      </c>
      <c r="F9" s="1">
        <v>32</v>
      </c>
      <c r="G9" s="1">
        <v>0.37</v>
      </c>
      <c r="H9" s="1">
        <v>9.35</v>
      </c>
      <c r="I9" s="1">
        <v>1.76</v>
      </c>
      <c r="J9" s="1">
        <v>1.78</v>
      </c>
      <c r="K9" s="1">
        <v>1.78</v>
      </c>
      <c r="L9" s="1">
        <v>1.78</v>
      </c>
      <c r="O9" t="b">
        <f t="shared" si="5"/>
        <v>0</v>
      </c>
      <c r="P9" t="b">
        <f t="shared" si="6"/>
        <v>1</v>
      </c>
      <c r="Q9" t="b">
        <f t="shared" si="7"/>
        <v>0</v>
      </c>
      <c r="R9" t="b">
        <f t="shared" si="8"/>
        <v>0</v>
      </c>
      <c r="S9" t="b">
        <f t="shared" si="9"/>
        <v>0</v>
      </c>
      <c r="U9" t="b">
        <f t="shared" si="10"/>
        <v>1</v>
      </c>
      <c r="V9" t="b">
        <f t="shared" si="1"/>
        <v>0</v>
      </c>
      <c r="W9" t="b">
        <f t="shared" si="2"/>
        <v>0</v>
      </c>
      <c r="X9" t="b">
        <f t="shared" si="3"/>
        <v>0</v>
      </c>
      <c r="Y9" t="b">
        <f t="shared" si="4"/>
        <v>0</v>
      </c>
      <c r="AA9" t="b">
        <f t="shared" si="11"/>
        <v>0</v>
      </c>
      <c r="AC9" t="b">
        <f t="shared" si="12"/>
        <v>0</v>
      </c>
      <c r="AD9" t="b">
        <f t="shared" si="13"/>
        <v>0</v>
      </c>
      <c r="AE9" t="b">
        <f t="shared" si="14"/>
        <v>0</v>
      </c>
    </row>
    <row r="10" spans="1:31">
      <c r="A10" s="2" t="s">
        <v>20</v>
      </c>
      <c r="B10" s="1">
        <v>14</v>
      </c>
      <c r="C10" s="1">
        <v>22</v>
      </c>
      <c r="D10" s="1">
        <v>1</v>
      </c>
      <c r="E10" s="1">
        <v>5</v>
      </c>
      <c r="F10" s="1">
        <v>35</v>
      </c>
      <c r="G10" s="1">
        <v>594.92999999999995</v>
      </c>
      <c r="H10" s="1">
        <v>0</v>
      </c>
      <c r="I10" s="1">
        <v>0.97</v>
      </c>
      <c r="J10" s="1">
        <v>0</v>
      </c>
      <c r="K10" s="1">
        <v>0</v>
      </c>
      <c r="L10" s="1">
        <v>0</v>
      </c>
      <c r="O10" t="b">
        <f t="shared" si="5"/>
        <v>1</v>
      </c>
      <c r="P10" t="b">
        <f t="shared" si="6"/>
        <v>0</v>
      </c>
      <c r="Q10" t="b">
        <f t="shared" si="7"/>
        <v>1</v>
      </c>
      <c r="R10" t="b">
        <f t="shared" si="8"/>
        <v>1</v>
      </c>
      <c r="S10" t="b">
        <f t="shared" si="9"/>
        <v>1</v>
      </c>
      <c r="U10" t="b">
        <f t="shared" si="10"/>
        <v>0</v>
      </c>
      <c r="V10" t="b">
        <f t="shared" si="1"/>
        <v>1</v>
      </c>
      <c r="W10" t="b">
        <f t="shared" si="2"/>
        <v>0</v>
      </c>
      <c r="X10" t="b">
        <f t="shared" si="3"/>
        <v>0</v>
      </c>
      <c r="Y10" t="b">
        <f t="shared" si="4"/>
        <v>0</v>
      </c>
      <c r="AA10" t="b">
        <f t="shared" si="11"/>
        <v>0</v>
      </c>
      <c r="AC10" t="b">
        <f t="shared" si="12"/>
        <v>0</v>
      </c>
      <c r="AD10" t="b">
        <f t="shared" si="13"/>
        <v>0</v>
      </c>
      <c r="AE10" t="b">
        <f t="shared" si="14"/>
        <v>0</v>
      </c>
    </row>
    <row r="11" spans="1:31">
      <c r="A11" s="2" t="s">
        <v>21</v>
      </c>
      <c r="B11" s="1">
        <v>14</v>
      </c>
      <c r="C11" s="1">
        <v>22</v>
      </c>
      <c r="D11" s="1">
        <v>1</v>
      </c>
      <c r="E11" s="1">
        <v>5</v>
      </c>
      <c r="F11" s="1">
        <v>36</v>
      </c>
      <c r="G11" s="1">
        <v>0.64</v>
      </c>
      <c r="H11" s="1">
        <v>0</v>
      </c>
      <c r="I11" s="1">
        <v>0.63</v>
      </c>
      <c r="J11" s="1">
        <v>0</v>
      </c>
      <c r="K11" s="1">
        <v>0</v>
      </c>
      <c r="L11" s="1">
        <v>0</v>
      </c>
      <c r="O11" t="b">
        <f t="shared" si="5"/>
        <v>1</v>
      </c>
      <c r="P11" t="b">
        <f t="shared" si="6"/>
        <v>0</v>
      </c>
      <c r="Q11" t="b">
        <f t="shared" si="7"/>
        <v>1</v>
      </c>
      <c r="R11" t="b">
        <f t="shared" si="8"/>
        <v>1</v>
      </c>
      <c r="S11" t="b">
        <f t="shared" si="9"/>
        <v>1</v>
      </c>
      <c r="U11" t="b">
        <f t="shared" si="10"/>
        <v>0</v>
      </c>
      <c r="V11" t="b">
        <f t="shared" si="1"/>
        <v>1</v>
      </c>
      <c r="W11" t="b">
        <f t="shared" si="2"/>
        <v>0</v>
      </c>
      <c r="X11" t="b">
        <f t="shared" si="3"/>
        <v>0</v>
      </c>
      <c r="Y11" t="b">
        <f t="shared" si="4"/>
        <v>0</v>
      </c>
      <c r="AA11" t="b">
        <f t="shared" si="11"/>
        <v>0</v>
      </c>
      <c r="AC11" t="b">
        <f t="shared" si="12"/>
        <v>0</v>
      </c>
      <c r="AD11" t="b">
        <f t="shared" si="13"/>
        <v>0</v>
      </c>
      <c r="AE11" t="b">
        <f t="shared" si="14"/>
        <v>0</v>
      </c>
    </row>
    <row r="12" spans="1:31">
      <c r="A12" s="2" t="s">
        <v>22</v>
      </c>
      <c r="B12" s="1">
        <v>2</v>
      </c>
      <c r="C12" s="1">
        <v>10</v>
      </c>
      <c r="D12" s="1">
        <v>2</v>
      </c>
      <c r="E12" s="1">
        <v>6</v>
      </c>
      <c r="F12" s="1">
        <v>40</v>
      </c>
      <c r="G12" s="1">
        <v>0.3</v>
      </c>
      <c r="H12" s="1">
        <v>7.06</v>
      </c>
      <c r="I12" s="1">
        <v>7.52</v>
      </c>
      <c r="J12" s="1">
        <v>7.01</v>
      </c>
      <c r="K12" s="1">
        <v>7.02</v>
      </c>
      <c r="L12" s="1">
        <v>7.03</v>
      </c>
      <c r="O12" t="b">
        <f t="shared" si="5"/>
        <v>0</v>
      </c>
      <c r="P12" t="b">
        <f t="shared" si="6"/>
        <v>0</v>
      </c>
      <c r="Q12" t="b">
        <f t="shared" si="7"/>
        <v>1</v>
      </c>
      <c r="R12" t="b">
        <f t="shared" si="8"/>
        <v>0</v>
      </c>
      <c r="S12" t="b">
        <f t="shared" si="9"/>
        <v>0</v>
      </c>
      <c r="U12" t="b">
        <f t="shared" si="10"/>
        <v>0</v>
      </c>
      <c r="V12" t="b">
        <f t="shared" si="1"/>
        <v>1</v>
      </c>
      <c r="W12" t="b">
        <f t="shared" si="2"/>
        <v>0</v>
      </c>
      <c r="X12" t="b">
        <f t="shared" si="3"/>
        <v>0</v>
      </c>
      <c r="Y12" t="b">
        <f t="shared" si="4"/>
        <v>0</v>
      </c>
      <c r="AA12" t="b">
        <f t="shared" si="11"/>
        <v>1</v>
      </c>
      <c r="AC12" t="b">
        <f t="shared" si="12"/>
        <v>1</v>
      </c>
      <c r="AD12" t="b">
        <f t="shared" si="13"/>
        <v>0</v>
      </c>
      <c r="AE12" t="b">
        <f t="shared" si="14"/>
        <v>0</v>
      </c>
    </row>
    <row r="13" spans="1:31">
      <c r="A13" s="2" t="s">
        <v>23</v>
      </c>
      <c r="B13" s="1">
        <v>16</v>
      </c>
      <c r="C13" s="1">
        <v>24</v>
      </c>
      <c r="D13" s="1">
        <v>1</v>
      </c>
      <c r="E13" s="1">
        <v>5</v>
      </c>
      <c r="F13" s="1">
        <v>42</v>
      </c>
      <c r="G13" s="1">
        <v>0.69</v>
      </c>
      <c r="H13" s="1">
        <v>0</v>
      </c>
      <c r="I13" s="1">
        <v>0.9</v>
      </c>
      <c r="J13" s="1">
        <v>0</v>
      </c>
      <c r="K13" s="1">
        <v>0</v>
      </c>
      <c r="L13" s="1">
        <v>0</v>
      </c>
      <c r="O13" t="b">
        <f t="shared" si="5"/>
        <v>1</v>
      </c>
      <c r="P13" t="b">
        <f t="shared" si="6"/>
        <v>0</v>
      </c>
      <c r="Q13" t="b">
        <f t="shared" si="7"/>
        <v>1</v>
      </c>
      <c r="R13" t="b">
        <f t="shared" si="8"/>
        <v>1</v>
      </c>
      <c r="S13" t="b">
        <f t="shared" si="9"/>
        <v>1</v>
      </c>
      <c r="U13" t="b">
        <f t="shared" si="10"/>
        <v>0</v>
      </c>
      <c r="V13" t="b">
        <f t="shared" si="1"/>
        <v>1</v>
      </c>
      <c r="W13" t="b">
        <f t="shared" si="2"/>
        <v>0</v>
      </c>
      <c r="X13" t="b">
        <f t="shared" si="3"/>
        <v>0</v>
      </c>
      <c r="Y13" t="b">
        <f t="shared" si="4"/>
        <v>0</v>
      </c>
      <c r="AA13" t="b">
        <f t="shared" si="11"/>
        <v>0</v>
      </c>
      <c r="AC13" t="b">
        <f t="shared" si="12"/>
        <v>0</v>
      </c>
      <c r="AD13" t="b">
        <f t="shared" si="13"/>
        <v>0</v>
      </c>
      <c r="AE13" t="b">
        <f t="shared" si="14"/>
        <v>0</v>
      </c>
    </row>
    <row r="14" spans="1:31">
      <c r="A14" s="2" t="s">
        <v>24</v>
      </c>
      <c r="B14" s="1">
        <v>14</v>
      </c>
      <c r="C14" s="1">
        <v>22</v>
      </c>
      <c r="D14" s="1">
        <v>1</v>
      </c>
      <c r="E14" s="1">
        <v>13</v>
      </c>
      <c r="F14" s="1">
        <v>44</v>
      </c>
      <c r="G14" s="1">
        <v>2.86</v>
      </c>
      <c r="H14" s="1">
        <v>3.09</v>
      </c>
      <c r="I14" s="1">
        <v>0</v>
      </c>
      <c r="J14" s="1">
        <v>2.95</v>
      </c>
      <c r="K14" s="1">
        <v>2.89</v>
      </c>
      <c r="L14" s="1">
        <v>2.91</v>
      </c>
      <c r="O14" t="b">
        <f t="shared" si="5"/>
        <v>0</v>
      </c>
      <c r="P14" t="b">
        <f t="shared" si="6"/>
        <v>1</v>
      </c>
      <c r="Q14" t="b">
        <f t="shared" si="7"/>
        <v>0</v>
      </c>
      <c r="R14" t="b">
        <f t="shared" si="8"/>
        <v>0</v>
      </c>
      <c r="S14" t="b">
        <f t="shared" si="9"/>
        <v>0</v>
      </c>
      <c r="U14" t="b">
        <f t="shared" si="10"/>
        <v>1</v>
      </c>
      <c r="V14" t="b">
        <f t="shared" si="1"/>
        <v>0</v>
      </c>
      <c r="W14" t="b">
        <f t="shared" si="2"/>
        <v>0</v>
      </c>
      <c r="X14" t="b">
        <f t="shared" si="3"/>
        <v>0</v>
      </c>
      <c r="Y14" t="b">
        <f t="shared" si="4"/>
        <v>0</v>
      </c>
      <c r="AA14" t="b">
        <f t="shared" si="11"/>
        <v>0</v>
      </c>
      <c r="AC14" t="b">
        <f t="shared" si="12"/>
        <v>0</v>
      </c>
      <c r="AD14" t="b">
        <f t="shared" si="13"/>
        <v>1</v>
      </c>
      <c r="AE14" t="b">
        <f t="shared" si="14"/>
        <v>0</v>
      </c>
    </row>
    <row r="15" spans="1:31">
      <c r="A15" s="2" t="s">
        <v>25</v>
      </c>
      <c r="B15" s="1">
        <v>16</v>
      </c>
      <c r="C15" s="1">
        <v>4</v>
      </c>
      <c r="D15" s="1">
        <v>1</v>
      </c>
      <c r="E15" s="1">
        <v>19</v>
      </c>
      <c r="F15" s="1">
        <v>58</v>
      </c>
      <c r="G15" s="1">
        <v>0.62</v>
      </c>
      <c r="H15" s="1">
        <v>2.52</v>
      </c>
      <c r="I15" s="1">
        <v>3.8</v>
      </c>
      <c r="J15" s="1">
        <v>2.5299999999999998</v>
      </c>
      <c r="K15" s="1">
        <v>2.52</v>
      </c>
      <c r="L15" s="1">
        <v>2.48</v>
      </c>
      <c r="O15" t="b">
        <f t="shared" si="5"/>
        <v>0</v>
      </c>
      <c r="P15" t="b">
        <f t="shared" si="6"/>
        <v>0</v>
      </c>
      <c r="Q15" t="b">
        <f t="shared" si="7"/>
        <v>0</v>
      </c>
      <c r="R15" t="b">
        <f t="shared" si="8"/>
        <v>0</v>
      </c>
      <c r="S15" t="b">
        <f t="shared" si="9"/>
        <v>1</v>
      </c>
      <c r="U15" t="b">
        <f t="shared" si="10"/>
        <v>0</v>
      </c>
      <c r="V15" t="b">
        <f t="shared" si="1"/>
        <v>1</v>
      </c>
      <c r="W15" t="b">
        <f t="shared" si="2"/>
        <v>0</v>
      </c>
      <c r="X15" t="b">
        <f t="shared" si="3"/>
        <v>0</v>
      </c>
      <c r="Y15" t="b">
        <f t="shared" si="4"/>
        <v>0</v>
      </c>
      <c r="AA15" t="b">
        <f t="shared" si="11"/>
        <v>1</v>
      </c>
      <c r="AC15" t="b">
        <f t="shared" si="12"/>
        <v>0</v>
      </c>
      <c r="AD15" t="b">
        <f t="shared" si="13"/>
        <v>0</v>
      </c>
      <c r="AE15" t="b">
        <f t="shared" si="14"/>
        <v>1</v>
      </c>
    </row>
    <row r="16" spans="1:31">
      <c r="A16" s="2" t="s">
        <v>26</v>
      </c>
      <c r="B16" s="1">
        <v>6</v>
      </c>
      <c r="C16" s="1">
        <v>10</v>
      </c>
      <c r="D16" s="1">
        <v>1</v>
      </c>
      <c r="E16" s="1">
        <v>20</v>
      </c>
      <c r="F16" s="1">
        <v>60</v>
      </c>
      <c r="G16" s="1">
        <v>0.44</v>
      </c>
      <c r="H16" s="1">
        <v>5.99</v>
      </c>
      <c r="I16" s="1">
        <v>6.73</v>
      </c>
      <c r="J16" s="1">
        <v>6.03</v>
      </c>
      <c r="K16" s="1">
        <v>6.1</v>
      </c>
      <c r="L16" s="1">
        <v>6.12</v>
      </c>
      <c r="O16" t="b">
        <f t="shared" si="5"/>
        <v>1</v>
      </c>
      <c r="P16" t="b">
        <f t="shared" si="6"/>
        <v>0</v>
      </c>
      <c r="Q16" t="b">
        <f t="shared" si="7"/>
        <v>0</v>
      </c>
      <c r="R16" t="b">
        <f t="shared" si="8"/>
        <v>0</v>
      </c>
      <c r="S16" t="b">
        <f t="shared" si="9"/>
        <v>0</v>
      </c>
      <c r="U16" t="b">
        <f t="shared" si="10"/>
        <v>0</v>
      </c>
      <c r="V16" t="b">
        <f t="shared" si="1"/>
        <v>1</v>
      </c>
      <c r="W16" t="b">
        <f t="shared" si="2"/>
        <v>0</v>
      </c>
      <c r="X16" t="b">
        <f t="shared" si="3"/>
        <v>0</v>
      </c>
      <c r="Y16" t="b">
        <f t="shared" si="4"/>
        <v>0</v>
      </c>
      <c r="AA16" t="b">
        <f t="shared" si="11"/>
        <v>0</v>
      </c>
      <c r="AC16" t="b">
        <f t="shared" si="12"/>
        <v>1</v>
      </c>
      <c r="AD16" t="b">
        <f t="shared" si="13"/>
        <v>0</v>
      </c>
      <c r="AE16" t="b">
        <f t="shared" si="14"/>
        <v>0</v>
      </c>
    </row>
    <row r="17" spans="1:31">
      <c r="A17" s="2" t="s">
        <v>27</v>
      </c>
      <c r="B17" s="1">
        <v>6</v>
      </c>
      <c r="C17" s="1">
        <v>10</v>
      </c>
      <c r="D17" s="1">
        <v>1</v>
      </c>
      <c r="E17" s="1">
        <v>24</v>
      </c>
      <c r="F17" s="1">
        <v>60</v>
      </c>
      <c r="G17" s="1">
        <v>0.32</v>
      </c>
      <c r="H17" s="1">
        <v>6.55</v>
      </c>
      <c r="I17" s="1">
        <v>7.82</v>
      </c>
      <c r="J17" s="1">
        <v>6.57</v>
      </c>
      <c r="K17" s="1">
        <v>6.74</v>
      </c>
      <c r="L17" s="1">
        <v>6.62</v>
      </c>
      <c r="O17" t="b">
        <f t="shared" si="5"/>
        <v>1</v>
      </c>
      <c r="P17" t="b">
        <f t="shared" si="6"/>
        <v>0</v>
      </c>
      <c r="Q17" t="b">
        <f t="shared" si="7"/>
        <v>0</v>
      </c>
      <c r="R17" t="b">
        <f t="shared" si="8"/>
        <v>0</v>
      </c>
      <c r="S17" t="b">
        <f t="shared" si="9"/>
        <v>0</v>
      </c>
      <c r="U17" t="b">
        <f t="shared" si="10"/>
        <v>0</v>
      </c>
      <c r="V17" t="b">
        <f t="shared" si="1"/>
        <v>1</v>
      </c>
      <c r="W17" t="b">
        <f t="shared" si="2"/>
        <v>0</v>
      </c>
      <c r="X17" t="b">
        <f t="shared" si="3"/>
        <v>0</v>
      </c>
      <c r="Y17" t="b">
        <f t="shared" si="4"/>
        <v>0</v>
      </c>
      <c r="AA17" t="b">
        <f t="shared" si="11"/>
        <v>0</v>
      </c>
      <c r="AC17" t="b">
        <f t="shared" si="12"/>
        <v>1</v>
      </c>
      <c r="AD17" t="b">
        <f t="shared" si="13"/>
        <v>0</v>
      </c>
      <c r="AE17" t="b">
        <f t="shared" si="14"/>
        <v>0</v>
      </c>
    </row>
    <row r="18" spans="1:31">
      <c r="A18" s="2" t="s">
        <v>28</v>
      </c>
      <c r="B18" s="1">
        <v>6</v>
      </c>
      <c r="C18" s="1">
        <v>10</v>
      </c>
      <c r="D18" s="1">
        <v>1</v>
      </c>
      <c r="E18" s="1">
        <v>44</v>
      </c>
      <c r="F18" s="1">
        <v>60</v>
      </c>
      <c r="G18" s="1">
        <v>0.52</v>
      </c>
      <c r="H18" s="1">
        <v>6.5</v>
      </c>
      <c r="I18" s="1">
        <v>7.2</v>
      </c>
      <c r="J18" s="1">
        <v>6.77</v>
      </c>
      <c r="K18" s="1">
        <v>6.62</v>
      </c>
      <c r="L18" s="1">
        <v>6.67</v>
      </c>
      <c r="O18" t="b">
        <f t="shared" si="5"/>
        <v>1</v>
      </c>
      <c r="P18" t="b">
        <f t="shared" si="6"/>
        <v>0</v>
      </c>
      <c r="Q18" t="b">
        <f t="shared" si="7"/>
        <v>0</v>
      </c>
      <c r="R18" t="b">
        <f t="shared" si="8"/>
        <v>0</v>
      </c>
      <c r="S18" t="b">
        <f t="shared" si="9"/>
        <v>0</v>
      </c>
      <c r="U18" t="b">
        <f t="shared" si="10"/>
        <v>0</v>
      </c>
      <c r="V18" t="b">
        <f t="shared" si="1"/>
        <v>1</v>
      </c>
      <c r="W18" t="b">
        <f t="shared" si="2"/>
        <v>0</v>
      </c>
      <c r="X18" t="b">
        <f t="shared" si="3"/>
        <v>0</v>
      </c>
      <c r="Y18" t="b">
        <f t="shared" si="4"/>
        <v>0</v>
      </c>
      <c r="AA18" t="b">
        <f t="shared" si="11"/>
        <v>0</v>
      </c>
      <c r="AC18" t="b">
        <f t="shared" si="12"/>
        <v>0</v>
      </c>
      <c r="AD18" t="b">
        <f t="shared" si="13"/>
        <v>1</v>
      </c>
      <c r="AE18" t="b">
        <f t="shared" si="14"/>
        <v>0</v>
      </c>
    </row>
    <row r="19" spans="1:31">
      <c r="A19" s="2" t="s">
        <v>29</v>
      </c>
      <c r="B19" s="1">
        <v>7</v>
      </c>
      <c r="C19" s="1">
        <v>10</v>
      </c>
      <c r="D19" s="1">
        <v>1</v>
      </c>
      <c r="E19" s="1">
        <v>35</v>
      </c>
      <c r="F19" s="1">
        <v>70</v>
      </c>
      <c r="G19" s="1">
        <v>0</v>
      </c>
      <c r="H19" s="1">
        <v>10000000</v>
      </c>
      <c r="I19" s="1">
        <v>7.95</v>
      </c>
      <c r="J19" s="1">
        <v>7.41</v>
      </c>
      <c r="K19" s="1">
        <v>7.35</v>
      </c>
      <c r="L19" s="1">
        <v>7.37</v>
      </c>
      <c r="O19" t="b">
        <f t="shared" si="5"/>
        <v>0</v>
      </c>
      <c r="P19" t="b">
        <f t="shared" si="6"/>
        <v>0</v>
      </c>
      <c r="Q19" t="b">
        <f t="shared" si="7"/>
        <v>0</v>
      </c>
      <c r="R19" t="b">
        <f t="shared" si="8"/>
        <v>1</v>
      </c>
      <c r="S19" t="b">
        <f t="shared" si="9"/>
        <v>0</v>
      </c>
      <c r="U19" t="b">
        <f t="shared" si="10"/>
        <v>1</v>
      </c>
      <c r="V19" t="b">
        <f t="shared" si="1"/>
        <v>0</v>
      </c>
      <c r="W19" t="b">
        <f t="shared" si="2"/>
        <v>0</v>
      </c>
      <c r="X19" t="b">
        <f t="shared" si="3"/>
        <v>0</v>
      </c>
      <c r="Y19" t="b">
        <f t="shared" si="4"/>
        <v>0</v>
      </c>
      <c r="AA19" t="b">
        <f t="shared" si="11"/>
        <v>1</v>
      </c>
      <c r="AC19" t="b">
        <f t="shared" si="12"/>
        <v>0</v>
      </c>
      <c r="AD19" t="b">
        <f t="shared" si="13"/>
        <v>1</v>
      </c>
      <c r="AE19" t="b">
        <f t="shared" si="14"/>
        <v>0</v>
      </c>
    </row>
    <row r="20" spans="1:31">
      <c r="A20" s="2" t="s">
        <v>30</v>
      </c>
      <c r="B20" s="1">
        <v>10</v>
      </c>
      <c r="C20" s="1">
        <v>7</v>
      </c>
      <c r="D20" s="1">
        <v>1</v>
      </c>
      <c r="E20" s="1">
        <v>35</v>
      </c>
      <c r="F20" s="1">
        <v>70</v>
      </c>
      <c r="G20" s="1">
        <v>0</v>
      </c>
      <c r="H20" s="1">
        <v>10000000</v>
      </c>
      <c r="I20" s="1">
        <v>7.67</v>
      </c>
      <c r="J20" s="1">
        <v>7.51</v>
      </c>
      <c r="K20" s="1">
        <v>7.57</v>
      </c>
      <c r="L20" s="1">
        <v>7.56</v>
      </c>
      <c r="O20" t="b">
        <f t="shared" si="5"/>
        <v>0</v>
      </c>
      <c r="P20" t="b">
        <f t="shared" si="6"/>
        <v>0</v>
      </c>
      <c r="Q20" t="b">
        <f t="shared" si="7"/>
        <v>1</v>
      </c>
      <c r="R20" t="b">
        <f t="shared" si="8"/>
        <v>0</v>
      </c>
      <c r="S20" t="b">
        <f t="shared" si="9"/>
        <v>0</v>
      </c>
      <c r="U20" t="b">
        <f t="shared" si="10"/>
        <v>1</v>
      </c>
      <c r="V20" t="b">
        <f t="shared" si="1"/>
        <v>0</v>
      </c>
      <c r="W20" t="b">
        <f t="shared" si="2"/>
        <v>0</v>
      </c>
      <c r="X20" t="b">
        <f t="shared" si="3"/>
        <v>0</v>
      </c>
      <c r="Y20" t="b">
        <f t="shared" si="4"/>
        <v>0</v>
      </c>
      <c r="AA20" t="b">
        <f t="shared" si="11"/>
        <v>1</v>
      </c>
      <c r="AC20" t="b">
        <f t="shared" si="12"/>
        <v>1</v>
      </c>
      <c r="AD20" t="b">
        <f t="shared" si="13"/>
        <v>0</v>
      </c>
      <c r="AE20" t="b">
        <f t="shared" si="14"/>
        <v>0</v>
      </c>
    </row>
    <row r="21" spans="1:31">
      <c r="A21" s="2" t="s">
        <v>31</v>
      </c>
      <c r="B21" s="1">
        <v>4</v>
      </c>
      <c r="C21" s="1">
        <v>6</v>
      </c>
      <c r="D21" s="1">
        <v>3</v>
      </c>
      <c r="E21" s="1">
        <v>29</v>
      </c>
      <c r="F21" s="1">
        <v>72</v>
      </c>
      <c r="G21" s="1">
        <v>0</v>
      </c>
      <c r="H21" s="1">
        <v>10000000</v>
      </c>
      <c r="I21" s="1">
        <v>17.760000000000002</v>
      </c>
      <c r="J21" s="1">
        <v>15.85</v>
      </c>
      <c r="K21" s="1">
        <v>16.05</v>
      </c>
      <c r="L21" s="1">
        <v>15.97</v>
      </c>
      <c r="O21" t="b">
        <f t="shared" si="5"/>
        <v>0</v>
      </c>
      <c r="P21" t="b">
        <f t="shared" si="6"/>
        <v>0</v>
      </c>
      <c r="Q21" t="b">
        <f t="shared" si="7"/>
        <v>1</v>
      </c>
      <c r="R21" t="b">
        <f t="shared" si="8"/>
        <v>0</v>
      </c>
      <c r="S21" t="b">
        <f t="shared" si="9"/>
        <v>0</v>
      </c>
      <c r="U21" t="b">
        <f t="shared" si="10"/>
        <v>1</v>
      </c>
      <c r="V21" t="b">
        <f t="shared" si="1"/>
        <v>0</v>
      </c>
      <c r="W21" t="b">
        <f t="shared" si="2"/>
        <v>0</v>
      </c>
      <c r="X21" t="b">
        <f t="shared" si="3"/>
        <v>0</v>
      </c>
      <c r="Y21" t="b">
        <f t="shared" si="4"/>
        <v>0</v>
      </c>
      <c r="AA21" t="b">
        <f t="shared" si="11"/>
        <v>1</v>
      </c>
      <c r="AC21" t="b">
        <f t="shared" si="12"/>
        <v>1</v>
      </c>
      <c r="AD21" t="b">
        <f t="shared" si="13"/>
        <v>0</v>
      </c>
      <c r="AE21" t="b">
        <f t="shared" si="14"/>
        <v>0</v>
      </c>
    </row>
    <row r="22" spans="1:31">
      <c r="A22" s="2" t="s">
        <v>32</v>
      </c>
      <c r="B22" s="1">
        <v>8</v>
      </c>
      <c r="C22" s="1">
        <v>10</v>
      </c>
      <c r="D22" s="1">
        <v>1</v>
      </c>
      <c r="E22" s="1">
        <v>20</v>
      </c>
      <c r="F22" s="1">
        <v>80</v>
      </c>
      <c r="G22" s="1">
        <v>0.41</v>
      </c>
      <c r="H22" s="1">
        <v>5.87</v>
      </c>
      <c r="I22" s="1">
        <v>6.25</v>
      </c>
      <c r="J22" s="1">
        <v>5.92</v>
      </c>
      <c r="K22" s="1">
        <v>5.9</v>
      </c>
      <c r="L22" s="1">
        <v>5.89</v>
      </c>
      <c r="O22" t="b">
        <f t="shared" si="5"/>
        <v>1</v>
      </c>
      <c r="P22" t="b">
        <f t="shared" si="6"/>
        <v>0</v>
      </c>
      <c r="Q22" t="b">
        <f t="shared" si="7"/>
        <v>0</v>
      </c>
      <c r="R22" t="b">
        <f t="shared" si="8"/>
        <v>0</v>
      </c>
      <c r="S22" t="b">
        <f t="shared" si="9"/>
        <v>0</v>
      </c>
      <c r="U22" t="b">
        <f t="shared" si="10"/>
        <v>0</v>
      </c>
      <c r="V22" t="b">
        <f t="shared" si="1"/>
        <v>1</v>
      </c>
      <c r="W22" t="b">
        <f t="shared" si="2"/>
        <v>0</v>
      </c>
      <c r="X22" t="b">
        <f t="shared" si="3"/>
        <v>0</v>
      </c>
      <c r="Y22" t="b">
        <f t="shared" si="4"/>
        <v>0</v>
      </c>
      <c r="AA22" t="b">
        <f t="shared" si="11"/>
        <v>0</v>
      </c>
      <c r="AC22" t="b">
        <f t="shared" si="12"/>
        <v>0</v>
      </c>
      <c r="AD22" t="b">
        <f t="shared" si="13"/>
        <v>0</v>
      </c>
      <c r="AE22" t="b">
        <f t="shared" si="14"/>
        <v>1</v>
      </c>
    </row>
    <row r="23" spans="1:31">
      <c r="A23" s="2" t="s">
        <v>33</v>
      </c>
      <c r="B23" s="1">
        <v>6</v>
      </c>
      <c r="C23" s="1">
        <v>10</v>
      </c>
      <c r="D23" s="1">
        <v>2</v>
      </c>
      <c r="E23" s="1">
        <v>10</v>
      </c>
      <c r="F23" s="1">
        <v>84</v>
      </c>
      <c r="G23" s="1">
        <v>0.46</v>
      </c>
      <c r="H23" s="1">
        <v>6.38</v>
      </c>
      <c r="I23" s="1">
        <v>8.56</v>
      </c>
      <c r="J23" s="1">
        <v>6.47</v>
      </c>
      <c r="K23" s="1">
        <v>6.43</v>
      </c>
      <c r="L23" s="1">
        <v>6.42</v>
      </c>
      <c r="O23" t="b">
        <f t="shared" si="5"/>
        <v>1</v>
      </c>
      <c r="P23" t="b">
        <f t="shared" si="6"/>
        <v>0</v>
      </c>
      <c r="Q23" t="b">
        <f t="shared" si="7"/>
        <v>0</v>
      </c>
      <c r="R23" t="b">
        <f t="shared" si="8"/>
        <v>0</v>
      </c>
      <c r="S23" t="b">
        <f t="shared" si="9"/>
        <v>0</v>
      </c>
      <c r="U23" t="b">
        <f t="shared" si="10"/>
        <v>0</v>
      </c>
      <c r="V23" t="b">
        <f t="shared" si="1"/>
        <v>1</v>
      </c>
      <c r="W23" t="b">
        <f t="shared" si="2"/>
        <v>0</v>
      </c>
      <c r="X23" t="b">
        <f t="shared" si="3"/>
        <v>0</v>
      </c>
      <c r="Y23" t="b">
        <f t="shared" si="4"/>
        <v>0</v>
      </c>
      <c r="AA23" t="b">
        <f t="shared" si="11"/>
        <v>0</v>
      </c>
      <c r="AC23" t="b">
        <f t="shared" si="12"/>
        <v>0</v>
      </c>
      <c r="AD23" t="b">
        <f t="shared" si="13"/>
        <v>0</v>
      </c>
      <c r="AE23" t="b">
        <f t="shared" si="14"/>
        <v>1</v>
      </c>
    </row>
    <row r="24" spans="1:31">
      <c r="A24" s="2" t="s">
        <v>34</v>
      </c>
      <c r="B24" s="1">
        <v>6</v>
      </c>
      <c r="C24" s="1">
        <v>10</v>
      </c>
      <c r="D24" s="1">
        <v>2</v>
      </c>
      <c r="E24" s="1">
        <v>10</v>
      </c>
      <c r="F24" s="1">
        <v>84</v>
      </c>
      <c r="G24" s="1">
        <v>0.43</v>
      </c>
      <c r="H24" s="1">
        <v>6.38</v>
      </c>
      <c r="I24" s="1">
        <v>9.0299999999999994</v>
      </c>
      <c r="J24" s="1">
        <v>6.55</v>
      </c>
      <c r="K24" s="1">
        <v>6.43</v>
      </c>
      <c r="L24" s="1">
        <v>6.42</v>
      </c>
      <c r="O24" t="b">
        <f t="shared" si="5"/>
        <v>1</v>
      </c>
      <c r="P24" t="b">
        <f t="shared" si="6"/>
        <v>0</v>
      </c>
      <c r="Q24" t="b">
        <f t="shared" si="7"/>
        <v>0</v>
      </c>
      <c r="R24" t="b">
        <f t="shared" si="8"/>
        <v>0</v>
      </c>
      <c r="S24" t="b">
        <f t="shared" si="9"/>
        <v>0</v>
      </c>
      <c r="U24" t="b">
        <f t="shared" si="10"/>
        <v>0</v>
      </c>
      <c r="V24" t="b">
        <f t="shared" si="1"/>
        <v>1</v>
      </c>
      <c r="W24" t="b">
        <f t="shared" si="2"/>
        <v>0</v>
      </c>
      <c r="X24" t="b">
        <f t="shared" si="3"/>
        <v>0</v>
      </c>
      <c r="Y24" t="b">
        <f t="shared" si="4"/>
        <v>0</v>
      </c>
      <c r="AA24" t="b">
        <f t="shared" si="11"/>
        <v>0</v>
      </c>
      <c r="AC24" t="b">
        <f t="shared" si="12"/>
        <v>0</v>
      </c>
      <c r="AD24" t="b">
        <f t="shared" si="13"/>
        <v>0</v>
      </c>
      <c r="AE24" t="b">
        <f t="shared" si="14"/>
        <v>1</v>
      </c>
    </row>
    <row r="25" spans="1:31">
      <c r="A25" s="2" t="s">
        <v>35</v>
      </c>
      <c r="B25" s="1">
        <v>8</v>
      </c>
      <c r="C25" s="1">
        <v>12</v>
      </c>
      <c r="D25" s="1">
        <v>1</v>
      </c>
      <c r="E25" s="1">
        <v>44</v>
      </c>
      <c r="F25" s="1">
        <v>96</v>
      </c>
      <c r="G25" s="1">
        <v>0.72</v>
      </c>
      <c r="H25" s="1">
        <v>8.34</v>
      </c>
      <c r="I25" s="1">
        <v>9.26</v>
      </c>
      <c r="J25" s="1">
        <v>8.35</v>
      </c>
      <c r="K25" s="1">
        <v>8.5500000000000007</v>
      </c>
      <c r="L25" s="1">
        <v>8.34</v>
      </c>
      <c r="O25" t="b">
        <f t="shared" si="5"/>
        <v>1</v>
      </c>
      <c r="P25" t="b">
        <f t="shared" si="6"/>
        <v>0</v>
      </c>
      <c r="Q25" t="b">
        <f t="shared" si="7"/>
        <v>0</v>
      </c>
      <c r="R25" t="b">
        <f t="shared" si="8"/>
        <v>0</v>
      </c>
      <c r="S25" t="b">
        <f t="shared" si="9"/>
        <v>1</v>
      </c>
      <c r="U25" t="b">
        <f t="shared" si="10"/>
        <v>0</v>
      </c>
      <c r="V25" t="b">
        <f t="shared" si="1"/>
        <v>1</v>
      </c>
      <c r="W25" t="b">
        <f t="shared" si="2"/>
        <v>0</v>
      </c>
      <c r="X25" t="b">
        <f t="shared" si="3"/>
        <v>0</v>
      </c>
      <c r="Y25" t="b">
        <f t="shared" si="4"/>
        <v>0</v>
      </c>
      <c r="AA25" t="b">
        <f t="shared" si="11"/>
        <v>0</v>
      </c>
      <c r="AC25" t="b">
        <f t="shared" si="12"/>
        <v>0</v>
      </c>
      <c r="AD25" t="b">
        <f t="shared" si="13"/>
        <v>0</v>
      </c>
      <c r="AE25" t="b">
        <f t="shared" si="14"/>
        <v>1</v>
      </c>
    </row>
    <row r="26" spans="1:31">
      <c r="A26" s="2" t="s">
        <v>36</v>
      </c>
      <c r="B26" s="1">
        <v>6</v>
      </c>
      <c r="C26" s="1">
        <v>10</v>
      </c>
      <c r="D26" s="1">
        <v>2</v>
      </c>
      <c r="E26" s="1">
        <v>44</v>
      </c>
      <c r="F26" s="1">
        <v>120</v>
      </c>
      <c r="G26" s="1">
        <v>0.88</v>
      </c>
      <c r="H26" s="1">
        <v>19.28</v>
      </c>
      <c r="I26" s="1">
        <v>23.26</v>
      </c>
      <c r="J26" s="1">
        <v>18.899999999999999</v>
      </c>
      <c r="K26" s="1">
        <v>19.43</v>
      </c>
      <c r="L26" s="1">
        <v>19.670000000000002</v>
      </c>
      <c r="O26" t="b">
        <f t="shared" si="5"/>
        <v>0</v>
      </c>
      <c r="P26" t="b">
        <f t="shared" si="6"/>
        <v>0</v>
      </c>
      <c r="Q26" t="b">
        <f t="shared" si="7"/>
        <v>1</v>
      </c>
      <c r="R26" t="b">
        <f t="shared" si="8"/>
        <v>0</v>
      </c>
      <c r="S26" t="b">
        <f t="shared" si="9"/>
        <v>0</v>
      </c>
      <c r="U26" t="b">
        <f t="shared" si="10"/>
        <v>0</v>
      </c>
      <c r="V26" t="b">
        <f t="shared" si="1"/>
        <v>1</v>
      </c>
      <c r="W26" t="b">
        <f t="shared" si="2"/>
        <v>0</v>
      </c>
      <c r="X26" t="b">
        <f t="shared" si="3"/>
        <v>0</v>
      </c>
      <c r="Y26" t="b">
        <f t="shared" si="4"/>
        <v>0</v>
      </c>
      <c r="AA26" t="b">
        <f t="shared" si="11"/>
        <v>1</v>
      </c>
      <c r="AC26" t="b">
        <f t="shared" si="12"/>
        <v>1</v>
      </c>
      <c r="AD26" t="b">
        <f t="shared" si="13"/>
        <v>0</v>
      </c>
      <c r="AE26" t="b">
        <f t="shared" si="14"/>
        <v>0</v>
      </c>
    </row>
    <row r="27" spans="1:31">
      <c r="A27" s="2" t="s">
        <v>37</v>
      </c>
      <c r="B27" s="1">
        <v>6</v>
      </c>
      <c r="C27" s="1">
        <v>10</v>
      </c>
      <c r="D27" s="1">
        <v>2</v>
      </c>
      <c r="E27" s="1">
        <v>44</v>
      </c>
      <c r="F27" s="1">
        <v>120</v>
      </c>
      <c r="G27" s="1">
        <v>0.86</v>
      </c>
      <c r="H27" s="1">
        <v>13.2</v>
      </c>
      <c r="I27" s="1">
        <v>14.2</v>
      </c>
      <c r="J27" s="1">
        <v>13.24</v>
      </c>
      <c r="K27" s="1">
        <v>13.17</v>
      </c>
      <c r="L27" s="1">
        <v>13.33</v>
      </c>
      <c r="O27" t="b">
        <f t="shared" si="5"/>
        <v>0</v>
      </c>
      <c r="P27" t="b">
        <f t="shared" si="6"/>
        <v>0</v>
      </c>
      <c r="Q27" t="b">
        <f t="shared" si="7"/>
        <v>0</v>
      </c>
      <c r="R27" t="b">
        <f t="shared" si="8"/>
        <v>1</v>
      </c>
      <c r="S27" t="b">
        <f t="shared" si="9"/>
        <v>0</v>
      </c>
      <c r="U27" t="b">
        <f t="shared" si="10"/>
        <v>0</v>
      </c>
      <c r="V27" t="b">
        <f t="shared" si="1"/>
        <v>1</v>
      </c>
      <c r="W27" t="b">
        <f t="shared" si="2"/>
        <v>0</v>
      </c>
      <c r="X27" t="b">
        <f t="shared" si="3"/>
        <v>0</v>
      </c>
      <c r="Y27" t="b">
        <f t="shared" si="4"/>
        <v>0</v>
      </c>
      <c r="AA27" t="b">
        <f t="shared" si="11"/>
        <v>1</v>
      </c>
      <c r="AC27" t="b">
        <f t="shared" si="12"/>
        <v>0</v>
      </c>
      <c r="AD27" t="b">
        <f t="shared" si="13"/>
        <v>1</v>
      </c>
      <c r="AE27" t="b">
        <f t="shared" si="14"/>
        <v>0</v>
      </c>
    </row>
    <row r="28" spans="1:31">
      <c r="A28" s="2" t="s">
        <v>38</v>
      </c>
      <c r="B28" s="1">
        <v>6</v>
      </c>
      <c r="C28" s="1">
        <v>10</v>
      </c>
      <c r="D28" s="1">
        <v>2</v>
      </c>
      <c r="E28" s="1">
        <v>56</v>
      </c>
      <c r="F28" s="1">
        <v>120</v>
      </c>
      <c r="G28" s="1">
        <v>2.39</v>
      </c>
      <c r="H28" s="1">
        <v>27.43</v>
      </c>
      <c r="I28" s="1">
        <v>31.29</v>
      </c>
      <c r="J28" s="1">
        <v>27.39</v>
      </c>
      <c r="K28" s="1">
        <v>27.05</v>
      </c>
      <c r="L28" s="1">
        <v>27.13</v>
      </c>
      <c r="O28" t="b">
        <f t="shared" si="5"/>
        <v>0</v>
      </c>
      <c r="P28" t="b">
        <f t="shared" si="6"/>
        <v>0</v>
      </c>
      <c r="Q28" t="b">
        <f t="shared" si="7"/>
        <v>0</v>
      </c>
      <c r="R28" t="b">
        <f t="shared" si="8"/>
        <v>1</v>
      </c>
      <c r="S28" t="b">
        <f t="shared" si="9"/>
        <v>0</v>
      </c>
      <c r="U28" t="b">
        <f t="shared" si="10"/>
        <v>0</v>
      </c>
      <c r="V28" t="b">
        <f t="shared" si="1"/>
        <v>1</v>
      </c>
      <c r="W28" t="b">
        <f t="shared" si="2"/>
        <v>0</v>
      </c>
      <c r="X28" t="b">
        <f t="shared" si="3"/>
        <v>0</v>
      </c>
      <c r="Y28" t="b">
        <f t="shared" si="4"/>
        <v>0</v>
      </c>
      <c r="AA28" t="b">
        <f t="shared" si="11"/>
        <v>1</v>
      </c>
      <c r="AC28" t="b">
        <f t="shared" si="12"/>
        <v>0</v>
      </c>
      <c r="AD28" t="b">
        <f t="shared" si="13"/>
        <v>1</v>
      </c>
      <c r="AE28" t="b">
        <f t="shared" si="14"/>
        <v>0</v>
      </c>
    </row>
    <row r="29" spans="1:31">
      <c r="A29" s="2" t="s">
        <v>39</v>
      </c>
      <c r="B29" s="1">
        <v>6</v>
      </c>
      <c r="C29" s="1">
        <v>10</v>
      </c>
      <c r="D29" s="1">
        <v>2</v>
      </c>
      <c r="E29" s="1">
        <v>84</v>
      </c>
      <c r="F29" s="1">
        <v>120</v>
      </c>
      <c r="G29" s="1">
        <v>0.88</v>
      </c>
      <c r="H29" s="1">
        <v>13.17</v>
      </c>
      <c r="I29" s="1">
        <v>22.67</v>
      </c>
      <c r="J29" s="1">
        <v>18.84</v>
      </c>
      <c r="K29" s="1">
        <v>19.670000000000002</v>
      </c>
      <c r="L29" s="1">
        <v>19.86</v>
      </c>
      <c r="O29" t="b">
        <f t="shared" si="5"/>
        <v>1</v>
      </c>
      <c r="P29" t="b">
        <f t="shared" si="6"/>
        <v>0</v>
      </c>
      <c r="Q29" t="b">
        <f t="shared" si="7"/>
        <v>0</v>
      </c>
      <c r="R29" t="b">
        <f t="shared" si="8"/>
        <v>0</v>
      </c>
      <c r="S29" t="b">
        <f t="shared" si="9"/>
        <v>0</v>
      </c>
      <c r="U29" t="b">
        <f t="shared" si="10"/>
        <v>0</v>
      </c>
      <c r="V29" t="b">
        <f t="shared" si="1"/>
        <v>1</v>
      </c>
      <c r="W29" t="b">
        <f t="shared" si="2"/>
        <v>0</v>
      </c>
      <c r="X29" t="b">
        <f t="shared" si="3"/>
        <v>0</v>
      </c>
      <c r="Y29" t="b">
        <f t="shared" si="4"/>
        <v>0</v>
      </c>
      <c r="AA29" t="b">
        <f t="shared" si="11"/>
        <v>0</v>
      </c>
      <c r="AC29" t="b">
        <f t="shared" si="12"/>
        <v>1</v>
      </c>
      <c r="AD29" t="b">
        <f t="shared" si="13"/>
        <v>0</v>
      </c>
      <c r="AE29" t="b">
        <f t="shared" si="14"/>
        <v>0</v>
      </c>
    </row>
    <row r="30" spans="1:31">
      <c r="A30" s="2" t="s">
        <v>40</v>
      </c>
      <c r="B30" s="1">
        <v>14</v>
      </c>
      <c r="C30" s="1">
        <v>10</v>
      </c>
      <c r="D30" s="1">
        <v>1</v>
      </c>
      <c r="E30" s="1">
        <v>46</v>
      </c>
      <c r="F30" s="1">
        <v>140</v>
      </c>
      <c r="G30" s="1">
        <v>1.53</v>
      </c>
      <c r="H30" s="1">
        <v>10</v>
      </c>
      <c r="I30" s="1">
        <v>10.28</v>
      </c>
      <c r="J30" s="1">
        <v>10.23</v>
      </c>
      <c r="K30" s="1">
        <v>10.16</v>
      </c>
      <c r="L30" s="1">
        <v>10.15</v>
      </c>
      <c r="O30" t="b">
        <f t="shared" si="5"/>
        <v>1</v>
      </c>
      <c r="P30" t="b">
        <f t="shared" si="6"/>
        <v>0</v>
      </c>
      <c r="Q30" t="b">
        <f t="shared" si="7"/>
        <v>0</v>
      </c>
      <c r="R30" t="b">
        <f t="shared" si="8"/>
        <v>0</v>
      </c>
      <c r="S30" t="b">
        <f t="shared" si="9"/>
        <v>0</v>
      </c>
      <c r="U30" t="b">
        <f t="shared" si="10"/>
        <v>0</v>
      </c>
      <c r="V30" t="b">
        <f t="shared" si="1"/>
        <v>1</v>
      </c>
      <c r="W30" t="b">
        <f t="shared" si="2"/>
        <v>0</v>
      </c>
      <c r="X30" t="b">
        <f t="shared" si="3"/>
        <v>0</v>
      </c>
      <c r="Y30" t="b">
        <f t="shared" si="4"/>
        <v>0</v>
      </c>
      <c r="AA30" t="b">
        <f t="shared" si="11"/>
        <v>0</v>
      </c>
      <c r="AC30" t="b">
        <f t="shared" si="12"/>
        <v>0</v>
      </c>
      <c r="AD30" t="b">
        <f t="shared" si="13"/>
        <v>0</v>
      </c>
      <c r="AE30" t="b">
        <f t="shared" si="14"/>
        <v>1</v>
      </c>
    </row>
    <row r="31" spans="1:31">
      <c r="A31" s="2" t="s">
        <v>41</v>
      </c>
      <c r="B31" s="1">
        <v>14</v>
      </c>
      <c r="C31" s="1">
        <v>10</v>
      </c>
      <c r="D31" s="1">
        <v>1</v>
      </c>
      <c r="E31" s="1">
        <v>46</v>
      </c>
      <c r="F31" s="1">
        <v>140</v>
      </c>
      <c r="G31" s="1">
        <v>1.45</v>
      </c>
      <c r="H31" s="1">
        <v>10.119999999999999</v>
      </c>
      <c r="I31" s="1">
        <v>10.52</v>
      </c>
      <c r="J31" s="1">
        <v>10.26</v>
      </c>
      <c r="K31" s="1">
        <v>10.16</v>
      </c>
      <c r="L31" s="1">
        <v>10.15</v>
      </c>
      <c r="O31" t="b">
        <f t="shared" si="5"/>
        <v>1</v>
      </c>
      <c r="P31" t="b">
        <f t="shared" si="6"/>
        <v>0</v>
      </c>
      <c r="Q31" t="b">
        <f t="shared" si="7"/>
        <v>0</v>
      </c>
      <c r="R31" t="b">
        <f t="shared" si="8"/>
        <v>0</v>
      </c>
      <c r="S31" t="b">
        <f t="shared" si="9"/>
        <v>0</v>
      </c>
      <c r="U31" t="b">
        <f t="shared" si="10"/>
        <v>0</v>
      </c>
      <c r="V31" t="b">
        <f t="shared" si="1"/>
        <v>1</v>
      </c>
      <c r="W31" t="b">
        <f t="shared" si="2"/>
        <v>0</v>
      </c>
      <c r="X31" t="b">
        <f t="shared" si="3"/>
        <v>0</v>
      </c>
      <c r="Y31" t="b">
        <f t="shared" si="4"/>
        <v>0</v>
      </c>
      <c r="AA31" t="b">
        <f t="shared" si="11"/>
        <v>0</v>
      </c>
      <c r="AC31" t="b">
        <f t="shared" si="12"/>
        <v>0</v>
      </c>
      <c r="AD31" t="b">
        <f t="shared" si="13"/>
        <v>0</v>
      </c>
      <c r="AE31" t="b">
        <f t="shared" si="14"/>
        <v>1</v>
      </c>
    </row>
    <row r="32" spans="1:31">
      <c r="A32" s="2" t="s">
        <v>42</v>
      </c>
      <c r="B32" s="1">
        <v>14</v>
      </c>
      <c r="C32" s="1">
        <v>11</v>
      </c>
      <c r="D32" s="1">
        <v>1</v>
      </c>
      <c r="E32" s="1">
        <v>71</v>
      </c>
      <c r="F32" s="1">
        <v>154</v>
      </c>
      <c r="G32" s="1">
        <v>0</v>
      </c>
      <c r="H32" s="1">
        <v>10000000</v>
      </c>
      <c r="I32" s="1">
        <v>24.17</v>
      </c>
      <c r="J32" s="1">
        <v>10000000</v>
      </c>
      <c r="K32" s="1">
        <v>22.56</v>
      </c>
      <c r="L32" s="1">
        <v>22.07</v>
      </c>
      <c r="O32" t="b">
        <f t="shared" si="5"/>
        <v>0</v>
      </c>
      <c r="P32" t="b">
        <f t="shared" si="6"/>
        <v>0</v>
      </c>
      <c r="Q32" t="b">
        <f t="shared" si="7"/>
        <v>0</v>
      </c>
      <c r="R32" t="b">
        <f t="shared" si="8"/>
        <v>0</v>
      </c>
      <c r="S32" t="b">
        <f t="shared" si="9"/>
        <v>1</v>
      </c>
      <c r="U32" t="b">
        <f t="shared" si="10"/>
        <v>1</v>
      </c>
      <c r="V32" t="b">
        <f t="shared" si="1"/>
        <v>0</v>
      </c>
      <c r="W32" t="b">
        <f t="shared" si="2"/>
        <v>1</v>
      </c>
      <c r="X32" t="b">
        <f t="shared" si="3"/>
        <v>0</v>
      </c>
      <c r="Y32" t="b">
        <f t="shared" si="4"/>
        <v>0</v>
      </c>
      <c r="AA32" t="b">
        <f t="shared" si="11"/>
        <v>1</v>
      </c>
      <c r="AC32" t="b">
        <f t="shared" si="12"/>
        <v>0</v>
      </c>
      <c r="AD32" t="b">
        <f t="shared" si="13"/>
        <v>0</v>
      </c>
      <c r="AE32" t="b">
        <f t="shared" si="14"/>
        <v>1</v>
      </c>
    </row>
    <row r="33" spans="1:31">
      <c r="A33" s="2" t="s">
        <v>43</v>
      </c>
      <c r="B33" s="1">
        <v>6</v>
      </c>
      <c r="C33" s="1">
        <v>10</v>
      </c>
      <c r="D33" s="1">
        <v>3</v>
      </c>
      <c r="E33" s="1">
        <v>124</v>
      </c>
      <c r="F33" s="1">
        <v>180</v>
      </c>
      <c r="G33" s="1">
        <v>1.93</v>
      </c>
      <c r="H33" s="1">
        <v>19.940000000000001</v>
      </c>
      <c r="I33" s="1">
        <v>43.82</v>
      </c>
      <c r="J33" s="1">
        <v>37.94</v>
      </c>
      <c r="K33" s="1">
        <v>38.479999999999997</v>
      </c>
      <c r="L33" s="1">
        <v>38.49</v>
      </c>
      <c r="O33" t="b">
        <f t="shared" si="5"/>
        <v>1</v>
      </c>
      <c r="P33" t="b">
        <f t="shared" si="6"/>
        <v>0</v>
      </c>
      <c r="Q33" t="b">
        <f t="shared" si="7"/>
        <v>0</v>
      </c>
      <c r="R33" t="b">
        <f t="shared" si="8"/>
        <v>0</v>
      </c>
      <c r="S33" t="b">
        <f t="shared" si="9"/>
        <v>0</v>
      </c>
      <c r="U33" t="b">
        <f t="shared" si="10"/>
        <v>0</v>
      </c>
      <c r="V33" t="b">
        <f t="shared" si="1"/>
        <v>1</v>
      </c>
      <c r="W33" t="b">
        <f t="shared" si="2"/>
        <v>0</v>
      </c>
      <c r="X33" t="b">
        <f t="shared" si="3"/>
        <v>0</v>
      </c>
      <c r="Y33" t="b">
        <f t="shared" si="4"/>
        <v>0</v>
      </c>
      <c r="AA33" t="b">
        <f t="shared" si="11"/>
        <v>0</v>
      </c>
      <c r="AC33" t="b">
        <f t="shared" si="12"/>
        <v>1</v>
      </c>
      <c r="AD33" t="b">
        <f t="shared" si="13"/>
        <v>0</v>
      </c>
      <c r="AE33" t="b">
        <f t="shared" si="14"/>
        <v>0</v>
      </c>
    </row>
    <row r="34" spans="1:31">
      <c r="A34" s="2" t="s">
        <v>44</v>
      </c>
      <c r="B34" s="1">
        <v>6</v>
      </c>
      <c r="C34" s="1">
        <v>10</v>
      </c>
      <c r="D34" s="1">
        <v>4</v>
      </c>
      <c r="E34" s="1">
        <v>84</v>
      </c>
      <c r="F34" s="1">
        <v>240</v>
      </c>
      <c r="G34" s="1">
        <v>3.14</v>
      </c>
      <c r="H34" s="1">
        <v>26.24</v>
      </c>
      <c r="I34" s="1">
        <v>45.83</v>
      </c>
      <c r="J34" s="1">
        <v>37.75</v>
      </c>
      <c r="K34" s="1">
        <v>39.43</v>
      </c>
      <c r="L34" s="1">
        <v>39.5</v>
      </c>
      <c r="O34" t="b">
        <f t="shared" si="5"/>
        <v>1</v>
      </c>
      <c r="P34" t="b">
        <f t="shared" si="6"/>
        <v>0</v>
      </c>
      <c r="Q34" t="b">
        <f t="shared" si="7"/>
        <v>0</v>
      </c>
      <c r="R34" t="b">
        <f t="shared" si="8"/>
        <v>0</v>
      </c>
      <c r="S34" t="b">
        <f t="shared" si="9"/>
        <v>0</v>
      </c>
      <c r="U34" t="b">
        <f t="shared" si="10"/>
        <v>0</v>
      </c>
      <c r="V34" t="b">
        <f t="shared" si="1"/>
        <v>1</v>
      </c>
      <c r="W34" t="b">
        <f t="shared" si="2"/>
        <v>0</v>
      </c>
      <c r="X34" t="b">
        <f t="shared" si="3"/>
        <v>0</v>
      </c>
      <c r="Y34" t="b">
        <f t="shared" si="4"/>
        <v>0</v>
      </c>
      <c r="AA34" t="b">
        <f t="shared" si="11"/>
        <v>0</v>
      </c>
      <c r="AC34" t="b">
        <f t="shared" si="12"/>
        <v>1</v>
      </c>
      <c r="AD34" t="b">
        <f t="shared" si="13"/>
        <v>0</v>
      </c>
      <c r="AE34" t="b">
        <f t="shared" si="14"/>
        <v>0</v>
      </c>
    </row>
    <row r="35" spans="1:31">
      <c r="A35" s="2" t="s">
        <v>45</v>
      </c>
      <c r="B35" s="1">
        <v>6</v>
      </c>
      <c r="C35" s="1">
        <v>10</v>
      </c>
      <c r="D35" s="1">
        <v>4</v>
      </c>
      <c r="E35" s="1">
        <v>84</v>
      </c>
      <c r="F35" s="1">
        <v>240</v>
      </c>
      <c r="G35" s="1">
        <v>2.78</v>
      </c>
      <c r="H35" s="1">
        <v>26.27</v>
      </c>
      <c r="I35" s="1">
        <v>44.43</v>
      </c>
      <c r="J35" s="1">
        <v>37.75</v>
      </c>
      <c r="K35" s="1">
        <v>39.43</v>
      </c>
      <c r="L35" s="1">
        <v>39.5</v>
      </c>
      <c r="O35" t="b">
        <f t="shared" si="5"/>
        <v>1</v>
      </c>
      <c r="P35" t="b">
        <f t="shared" si="6"/>
        <v>0</v>
      </c>
      <c r="Q35" t="b">
        <f t="shared" si="7"/>
        <v>0</v>
      </c>
      <c r="R35" t="b">
        <f t="shared" si="8"/>
        <v>0</v>
      </c>
      <c r="S35" t="b">
        <f t="shared" si="9"/>
        <v>0</v>
      </c>
      <c r="U35" t="b">
        <f t="shared" si="10"/>
        <v>0</v>
      </c>
      <c r="V35" t="b">
        <f t="shared" si="1"/>
        <v>1</v>
      </c>
      <c r="W35" t="b">
        <f t="shared" si="2"/>
        <v>0</v>
      </c>
      <c r="X35" t="b">
        <f t="shared" si="3"/>
        <v>0</v>
      </c>
      <c r="Y35" t="b">
        <f t="shared" si="4"/>
        <v>0</v>
      </c>
      <c r="AA35" t="b">
        <f t="shared" si="11"/>
        <v>0</v>
      </c>
      <c r="AC35" t="b">
        <f t="shared" si="12"/>
        <v>1</v>
      </c>
      <c r="AD35" t="b">
        <f t="shared" si="13"/>
        <v>0</v>
      </c>
      <c r="AE35" t="b">
        <f t="shared" si="14"/>
        <v>0</v>
      </c>
    </row>
    <row r="36" spans="1:31">
      <c r="A36" s="2" t="s">
        <v>46</v>
      </c>
      <c r="B36" s="1">
        <v>6</v>
      </c>
      <c r="C36" s="1">
        <v>10</v>
      </c>
      <c r="D36" s="1">
        <v>4</v>
      </c>
      <c r="E36" s="1">
        <v>84</v>
      </c>
      <c r="F36" s="1">
        <v>240</v>
      </c>
      <c r="G36" s="1">
        <v>2</v>
      </c>
      <c r="H36" s="1">
        <v>25.98</v>
      </c>
      <c r="I36" s="1">
        <v>43.47</v>
      </c>
      <c r="J36" s="1">
        <v>36.6</v>
      </c>
      <c r="K36" s="1">
        <v>38.56</v>
      </c>
      <c r="L36" s="1">
        <v>37.51</v>
      </c>
      <c r="O36" t="b">
        <f t="shared" si="5"/>
        <v>1</v>
      </c>
      <c r="P36" t="b">
        <f t="shared" si="6"/>
        <v>0</v>
      </c>
      <c r="Q36" t="b">
        <f t="shared" si="7"/>
        <v>0</v>
      </c>
      <c r="R36" t="b">
        <f t="shared" si="8"/>
        <v>0</v>
      </c>
      <c r="S36" t="b">
        <f t="shared" si="9"/>
        <v>0</v>
      </c>
      <c r="U36" t="b">
        <f t="shared" si="10"/>
        <v>0</v>
      </c>
      <c r="V36" t="b">
        <f t="shared" si="1"/>
        <v>1</v>
      </c>
      <c r="W36" t="b">
        <f t="shared" si="2"/>
        <v>0</v>
      </c>
      <c r="X36" t="b">
        <f t="shared" si="3"/>
        <v>0</v>
      </c>
      <c r="Y36" t="b">
        <f t="shared" si="4"/>
        <v>0</v>
      </c>
      <c r="AA36" t="b">
        <f t="shared" si="11"/>
        <v>0</v>
      </c>
      <c r="AC36" t="b">
        <f t="shared" si="12"/>
        <v>1</v>
      </c>
      <c r="AD36" t="b">
        <f t="shared" si="13"/>
        <v>0</v>
      </c>
      <c r="AE36" t="b">
        <f t="shared" si="14"/>
        <v>0</v>
      </c>
    </row>
    <row r="37" spans="1:31">
      <c r="A37" s="2" t="s">
        <v>47</v>
      </c>
      <c r="B37" s="1">
        <v>14</v>
      </c>
      <c r="C37" s="1">
        <v>22</v>
      </c>
      <c r="D37" s="1">
        <v>1</v>
      </c>
      <c r="E37" s="1">
        <v>132</v>
      </c>
      <c r="F37" s="1">
        <v>264</v>
      </c>
      <c r="G37" s="1">
        <v>3.52</v>
      </c>
      <c r="H37" s="1">
        <v>13.8</v>
      </c>
      <c r="I37" s="1">
        <v>15.59</v>
      </c>
      <c r="J37" s="1">
        <v>15.17</v>
      </c>
      <c r="K37" s="1">
        <v>13.71</v>
      </c>
      <c r="L37" s="1">
        <v>13.63</v>
      </c>
      <c r="O37" t="b">
        <f t="shared" si="5"/>
        <v>0</v>
      </c>
      <c r="P37" t="b">
        <f t="shared" si="6"/>
        <v>0</v>
      </c>
      <c r="Q37" t="b">
        <f t="shared" si="7"/>
        <v>0</v>
      </c>
      <c r="R37" t="b">
        <f t="shared" si="8"/>
        <v>0</v>
      </c>
      <c r="S37" t="b">
        <f t="shared" si="9"/>
        <v>1</v>
      </c>
      <c r="U37" t="b">
        <f t="shared" si="10"/>
        <v>0</v>
      </c>
      <c r="V37" t="b">
        <f t="shared" si="1"/>
        <v>1</v>
      </c>
      <c r="W37" t="b">
        <f t="shared" si="2"/>
        <v>0</v>
      </c>
      <c r="X37" t="b">
        <f t="shared" si="3"/>
        <v>0</v>
      </c>
      <c r="Y37" t="b">
        <f t="shared" si="4"/>
        <v>0</v>
      </c>
      <c r="AA37" t="b">
        <f t="shared" si="11"/>
        <v>1</v>
      </c>
      <c r="AC37" t="b">
        <f t="shared" si="12"/>
        <v>0</v>
      </c>
      <c r="AD37" t="b">
        <f t="shared" si="13"/>
        <v>0</v>
      </c>
      <c r="AE37" t="b">
        <f t="shared" si="14"/>
        <v>1</v>
      </c>
    </row>
    <row r="38" spans="1:31">
      <c r="A38" s="2" t="s">
        <v>48</v>
      </c>
      <c r="B38" s="1">
        <v>6</v>
      </c>
      <c r="C38" s="1">
        <v>46</v>
      </c>
      <c r="D38" s="1">
        <v>1</v>
      </c>
      <c r="E38" s="1">
        <v>26</v>
      </c>
      <c r="F38" s="1">
        <v>276</v>
      </c>
      <c r="G38" s="1">
        <v>579.26</v>
      </c>
      <c r="H38" s="1">
        <v>0.56999999999999995</v>
      </c>
      <c r="I38" s="1">
        <v>0.7</v>
      </c>
      <c r="J38" s="1">
        <v>10000000</v>
      </c>
      <c r="K38" s="1">
        <v>0.56000000000000005</v>
      </c>
      <c r="L38" s="1">
        <v>0.56000000000000005</v>
      </c>
      <c r="O38" t="b">
        <f t="shared" si="5"/>
        <v>0</v>
      </c>
      <c r="P38" t="b">
        <f t="shared" si="6"/>
        <v>0</v>
      </c>
      <c r="Q38" t="b">
        <f t="shared" si="7"/>
        <v>0</v>
      </c>
      <c r="R38" t="b">
        <f t="shared" si="8"/>
        <v>1</v>
      </c>
      <c r="S38" t="b">
        <f t="shared" si="9"/>
        <v>1</v>
      </c>
      <c r="U38" t="b">
        <f t="shared" si="10"/>
        <v>0</v>
      </c>
      <c r="V38" t="b">
        <f t="shared" si="1"/>
        <v>0</v>
      </c>
      <c r="W38" t="b">
        <f t="shared" si="2"/>
        <v>1</v>
      </c>
      <c r="X38" t="b">
        <f t="shared" si="3"/>
        <v>0</v>
      </c>
      <c r="Y38" t="b">
        <f t="shared" si="4"/>
        <v>0</v>
      </c>
      <c r="AA38" t="b">
        <f t="shared" si="11"/>
        <v>1</v>
      </c>
      <c r="AC38" t="b">
        <f t="shared" si="12"/>
        <v>0</v>
      </c>
      <c r="AD38" t="b">
        <f t="shared" si="13"/>
        <v>0</v>
      </c>
      <c r="AE38" t="b">
        <f t="shared" si="14"/>
        <v>0</v>
      </c>
    </row>
    <row r="39" spans="1:31">
      <c r="A39" s="2" t="s">
        <v>49</v>
      </c>
      <c r="B39" s="1">
        <v>14</v>
      </c>
      <c r="C39" s="1">
        <v>22</v>
      </c>
      <c r="D39" s="1">
        <v>1</v>
      </c>
      <c r="E39" s="1">
        <v>258</v>
      </c>
      <c r="F39" s="1">
        <v>282</v>
      </c>
      <c r="G39" s="1">
        <v>1345.88</v>
      </c>
      <c r="H39" s="1">
        <v>57.12</v>
      </c>
      <c r="I39" s="1">
        <v>57.4</v>
      </c>
      <c r="J39" s="1">
        <v>56.56</v>
      </c>
      <c r="K39" s="1">
        <v>57.15</v>
      </c>
      <c r="L39" s="1">
        <v>57.22</v>
      </c>
      <c r="O39" t="b">
        <f t="shared" si="5"/>
        <v>0</v>
      </c>
      <c r="P39" t="b">
        <f t="shared" si="6"/>
        <v>0</v>
      </c>
      <c r="Q39" t="b">
        <f t="shared" si="7"/>
        <v>1</v>
      </c>
      <c r="R39" t="b">
        <f t="shared" si="8"/>
        <v>0</v>
      </c>
      <c r="S39" t="b">
        <f t="shared" si="9"/>
        <v>0</v>
      </c>
      <c r="U39" t="b">
        <f t="shared" si="10"/>
        <v>0</v>
      </c>
      <c r="V39" t="b">
        <f t="shared" si="1"/>
        <v>1</v>
      </c>
      <c r="W39" t="b">
        <f t="shared" si="2"/>
        <v>0</v>
      </c>
      <c r="X39" t="b">
        <f t="shared" si="3"/>
        <v>0</v>
      </c>
      <c r="Y39" t="b">
        <f t="shared" si="4"/>
        <v>0</v>
      </c>
      <c r="AA39" t="b">
        <f t="shared" si="11"/>
        <v>1</v>
      </c>
      <c r="AC39" t="b">
        <f t="shared" si="12"/>
        <v>1</v>
      </c>
      <c r="AD39" t="b">
        <f t="shared" si="13"/>
        <v>0</v>
      </c>
      <c r="AE39" t="b">
        <f t="shared" si="14"/>
        <v>0</v>
      </c>
    </row>
    <row r="40" spans="1:31">
      <c r="A40" s="2" t="s">
        <v>50</v>
      </c>
      <c r="B40" s="1">
        <v>14</v>
      </c>
      <c r="C40" s="1">
        <v>22</v>
      </c>
      <c r="D40" s="1">
        <v>1</v>
      </c>
      <c r="E40" s="1">
        <v>137</v>
      </c>
      <c r="F40" s="1">
        <v>294</v>
      </c>
      <c r="G40" s="1">
        <v>88.47</v>
      </c>
      <c r="H40" s="1">
        <v>19.53</v>
      </c>
      <c r="I40" s="1">
        <v>21.91</v>
      </c>
      <c r="J40" s="1">
        <v>18.809999999999999</v>
      </c>
      <c r="K40" s="1">
        <v>19.829999999999998</v>
      </c>
      <c r="L40" s="1">
        <v>19.690000000000001</v>
      </c>
      <c r="O40" t="b">
        <f t="shared" si="5"/>
        <v>0</v>
      </c>
      <c r="P40" t="b">
        <f t="shared" si="6"/>
        <v>0</v>
      </c>
      <c r="Q40" t="b">
        <f t="shared" si="7"/>
        <v>1</v>
      </c>
      <c r="R40" t="b">
        <f t="shared" si="8"/>
        <v>0</v>
      </c>
      <c r="S40" t="b">
        <f t="shared" si="9"/>
        <v>0</v>
      </c>
      <c r="U40" t="b">
        <f t="shared" si="10"/>
        <v>0</v>
      </c>
      <c r="V40" t="b">
        <f t="shared" si="1"/>
        <v>1</v>
      </c>
      <c r="W40" t="b">
        <f t="shared" si="2"/>
        <v>0</v>
      </c>
      <c r="X40" t="b">
        <f t="shared" si="3"/>
        <v>0</v>
      </c>
      <c r="Y40" t="b">
        <f t="shared" si="4"/>
        <v>0</v>
      </c>
      <c r="AA40" t="b">
        <f t="shared" si="11"/>
        <v>1</v>
      </c>
      <c r="AC40" t="b">
        <f t="shared" si="12"/>
        <v>1</v>
      </c>
      <c r="AD40" t="b">
        <f t="shared" si="13"/>
        <v>0</v>
      </c>
      <c r="AE40" t="b">
        <f t="shared" si="14"/>
        <v>0</v>
      </c>
    </row>
    <row r="41" spans="1:31">
      <c r="A41" s="2" t="s">
        <v>51</v>
      </c>
      <c r="B41" s="1">
        <v>14</v>
      </c>
      <c r="C41" s="1">
        <v>22</v>
      </c>
      <c r="D41" s="1">
        <v>1</v>
      </c>
      <c r="E41" s="1">
        <v>261</v>
      </c>
      <c r="F41" s="1">
        <v>294</v>
      </c>
      <c r="G41" s="1">
        <v>24.82</v>
      </c>
      <c r="H41" s="1">
        <v>0</v>
      </c>
      <c r="I41" s="1">
        <v>0.64</v>
      </c>
      <c r="J41" s="1">
        <v>0</v>
      </c>
      <c r="K41" s="1">
        <v>0</v>
      </c>
      <c r="L41" s="1">
        <v>0</v>
      </c>
      <c r="O41" t="b">
        <f t="shared" si="5"/>
        <v>1</v>
      </c>
      <c r="P41" t="b">
        <f t="shared" si="6"/>
        <v>0</v>
      </c>
      <c r="Q41" t="b">
        <f t="shared" si="7"/>
        <v>1</v>
      </c>
      <c r="R41" t="b">
        <f t="shared" si="8"/>
        <v>1</v>
      </c>
      <c r="S41" t="b">
        <f t="shared" si="9"/>
        <v>1</v>
      </c>
      <c r="U41" t="b">
        <f t="shared" si="10"/>
        <v>0</v>
      </c>
      <c r="V41" t="b">
        <f t="shared" si="1"/>
        <v>1</v>
      </c>
      <c r="W41" t="b">
        <f t="shared" si="2"/>
        <v>0</v>
      </c>
      <c r="X41" t="b">
        <f t="shared" si="3"/>
        <v>0</v>
      </c>
      <c r="Y41" t="b">
        <f t="shared" si="4"/>
        <v>0</v>
      </c>
      <c r="AA41" t="b">
        <f t="shared" si="11"/>
        <v>0</v>
      </c>
      <c r="AC41" t="b">
        <f t="shared" si="12"/>
        <v>0</v>
      </c>
      <c r="AD41" t="b">
        <f t="shared" si="13"/>
        <v>0</v>
      </c>
      <c r="AE41" t="b">
        <f t="shared" si="14"/>
        <v>0</v>
      </c>
    </row>
    <row r="42" spans="1:31">
      <c r="A42" s="2" t="s">
        <v>52</v>
      </c>
      <c r="B42" s="1">
        <v>6</v>
      </c>
      <c r="C42" s="1">
        <v>10</v>
      </c>
      <c r="D42" s="1">
        <v>5</v>
      </c>
      <c r="E42" s="1">
        <v>93</v>
      </c>
      <c r="F42" s="1">
        <v>296</v>
      </c>
      <c r="G42" s="1">
        <v>0</v>
      </c>
      <c r="H42" s="1">
        <v>10000000</v>
      </c>
      <c r="I42" s="1">
        <v>62.96</v>
      </c>
      <c r="J42" s="1">
        <v>10000000</v>
      </c>
      <c r="K42" s="1">
        <v>55.64</v>
      </c>
      <c r="L42" s="1">
        <v>55.64</v>
      </c>
      <c r="O42" t="b">
        <f t="shared" si="5"/>
        <v>0</v>
      </c>
      <c r="P42" t="b">
        <f t="shared" si="6"/>
        <v>0</v>
      </c>
      <c r="Q42" t="b">
        <f t="shared" si="7"/>
        <v>0</v>
      </c>
      <c r="R42" t="b">
        <f t="shared" si="8"/>
        <v>1</v>
      </c>
      <c r="S42" t="b">
        <f t="shared" si="9"/>
        <v>1</v>
      </c>
      <c r="U42" t="b">
        <f t="shared" si="10"/>
        <v>1</v>
      </c>
      <c r="V42" t="b">
        <f t="shared" si="1"/>
        <v>0</v>
      </c>
      <c r="W42" t="b">
        <f t="shared" si="2"/>
        <v>1</v>
      </c>
      <c r="X42" t="b">
        <f t="shared" si="3"/>
        <v>0</v>
      </c>
      <c r="Y42" t="b">
        <f t="shared" si="4"/>
        <v>0</v>
      </c>
      <c r="AA42" t="b">
        <f t="shared" si="11"/>
        <v>1</v>
      </c>
      <c r="AC42" t="b">
        <f t="shared" si="12"/>
        <v>0</v>
      </c>
      <c r="AD42" t="b">
        <f t="shared" si="13"/>
        <v>0</v>
      </c>
      <c r="AE42" t="b">
        <f t="shared" si="14"/>
        <v>0</v>
      </c>
    </row>
    <row r="43" spans="1:31">
      <c r="A43" s="2" t="s">
        <v>53</v>
      </c>
      <c r="B43" s="1">
        <v>14</v>
      </c>
      <c r="C43" s="1">
        <v>22</v>
      </c>
      <c r="D43" s="1">
        <v>1</v>
      </c>
      <c r="E43" s="1">
        <v>108</v>
      </c>
      <c r="F43" s="1">
        <v>307</v>
      </c>
      <c r="G43" s="1">
        <v>9.16</v>
      </c>
      <c r="H43" s="1">
        <v>53.2</v>
      </c>
      <c r="I43" s="1">
        <v>56.44</v>
      </c>
      <c r="J43" s="1">
        <v>49.33</v>
      </c>
      <c r="K43" s="1">
        <v>49.24</v>
      </c>
      <c r="L43" s="1">
        <v>48.91</v>
      </c>
      <c r="O43" t="b">
        <f t="shared" si="5"/>
        <v>0</v>
      </c>
      <c r="P43" t="b">
        <f t="shared" si="6"/>
        <v>0</v>
      </c>
      <c r="Q43" t="b">
        <f t="shared" si="7"/>
        <v>0</v>
      </c>
      <c r="R43" t="b">
        <f t="shared" si="8"/>
        <v>0</v>
      </c>
      <c r="S43" t="b">
        <f t="shared" si="9"/>
        <v>1</v>
      </c>
      <c r="U43" t="b">
        <f t="shared" si="10"/>
        <v>0</v>
      </c>
      <c r="V43" t="b">
        <f t="shared" si="1"/>
        <v>1</v>
      </c>
      <c r="W43" t="b">
        <f t="shared" si="2"/>
        <v>0</v>
      </c>
      <c r="X43" t="b">
        <f t="shared" si="3"/>
        <v>0</v>
      </c>
      <c r="Y43" t="b">
        <f t="shared" si="4"/>
        <v>0</v>
      </c>
      <c r="AA43" t="b">
        <f t="shared" si="11"/>
        <v>1</v>
      </c>
      <c r="AC43" t="b">
        <f t="shared" si="12"/>
        <v>0</v>
      </c>
      <c r="AD43" t="b">
        <f t="shared" si="13"/>
        <v>0</v>
      </c>
      <c r="AE43" t="b">
        <f t="shared" si="14"/>
        <v>1</v>
      </c>
    </row>
    <row r="44" spans="1:31">
      <c r="A44" s="2" t="s">
        <v>54</v>
      </c>
      <c r="B44" s="1">
        <v>14</v>
      </c>
      <c r="C44" s="1">
        <v>22</v>
      </c>
      <c r="D44" s="1">
        <v>1</v>
      </c>
      <c r="E44" s="1">
        <v>42</v>
      </c>
      <c r="F44" s="1">
        <v>308</v>
      </c>
      <c r="G44" s="1">
        <v>13.55</v>
      </c>
      <c r="H44" s="1">
        <v>0</v>
      </c>
      <c r="I44" s="1">
        <v>0</v>
      </c>
      <c r="J44" s="1">
        <v>10000000</v>
      </c>
      <c r="K44" s="1">
        <v>0</v>
      </c>
      <c r="L44" s="1">
        <v>0</v>
      </c>
      <c r="O44" t="b">
        <f t="shared" si="5"/>
        <v>1</v>
      </c>
      <c r="P44" t="b">
        <f t="shared" si="6"/>
        <v>1</v>
      </c>
      <c r="Q44" t="b">
        <f t="shared" si="7"/>
        <v>0</v>
      </c>
      <c r="R44" t="b">
        <f t="shared" si="8"/>
        <v>1</v>
      </c>
      <c r="S44" t="b">
        <f t="shared" si="9"/>
        <v>1</v>
      </c>
      <c r="U44" t="b">
        <f t="shared" si="10"/>
        <v>0</v>
      </c>
      <c r="V44" t="b">
        <f t="shared" si="1"/>
        <v>0</v>
      </c>
      <c r="W44" t="b">
        <f t="shared" si="2"/>
        <v>1</v>
      </c>
      <c r="X44" t="b">
        <f t="shared" si="3"/>
        <v>0</v>
      </c>
      <c r="Y44" t="b">
        <f t="shared" si="4"/>
        <v>0</v>
      </c>
      <c r="AA44" t="b">
        <f t="shared" si="11"/>
        <v>0</v>
      </c>
      <c r="AC44" t="b">
        <f t="shared" si="12"/>
        <v>0</v>
      </c>
      <c r="AD44" t="b">
        <f t="shared" si="13"/>
        <v>0</v>
      </c>
      <c r="AE44" t="b">
        <f t="shared" si="14"/>
        <v>0</v>
      </c>
    </row>
    <row r="45" spans="1:31">
      <c r="A45" s="2" t="s">
        <v>55</v>
      </c>
      <c r="B45" s="1">
        <v>14</v>
      </c>
      <c r="C45" s="1">
        <v>22</v>
      </c>
      <c r="D45" s="1">
        <v>1</v>
      </c>
      <c r="E45" s="1">
        <v>91</v>
      </c>
      <c r="F45" s="1">
        <v>308</v>
      </c>
      <c r="G45" s="1">
        <v>8.1199999999999992</v>
      </c>
      <c r="H45" s="1">
        <v>0</v>
      </c>
      <c r="I45" s="1">
        <v>0.68</v>
      </c>
      <c r="J45" s="1">
        <v>2.11</v>
      </c>
      <c r="K45" s="1">
        <v>1.35</v>
      </c>
      <c r="L45" s="1">
        <v>0.68</v>
      </c>
      <c r="O45" t="b">
        <f t="shared" si="5"/>
        <v>1</v>
      </c>
      <c r="P45" t="b">
        <f t="shared" si="6"/>
        <v>0</v>
      </c>
      <c r="Q45" t="b">
        <f t="shared" si="7"/>
        <v>0</v>
      </c>
      <c r="R45" t="b">
        <f t="shared" si="8"/>
        <v>0</v>
      </c>
      <c r="S45" t="b">
        <f t="shared" si="9"/>
        <v>0</v>
      </c>
      <c r="U45" t="b">
        <f t="shared" si="10"/>
        <v>0</v>
      </c>
      <c r="V45" t="b">
        <f t="shared" si="1"/>
        <v>0</v>
      </c>
      <c r="W45" t="b">
        <f t="shared" si="2"/>
        <v>1</v>
      </c>
      <c r="X45" t="b">
        <f t="shared" si="3"/>
        <v>0</v>
      </c>
      <c r="Y45" t="b">
        <f t="shared" si="4"/>
        <v>0</v>
      </c>
      <c r="AA45" t="b">
        <f t="shared" si="11"/>
        <v>0</v>
      </c>
      <c r="AC45" t="b">
        <f t="shared" si="12"/>
        <v>0</v>
      </c>
      <c r="AD45" t="b">
        <f t="shared" si="13"/>
        <v>0</v>
      </c>
      <c r="AE45" t="b">
        <f t="shared" si="14"/>
        <v>1</v>
      </c>
    </row>
    <row r="46" spans="1:31">
      <c r="A46" s="2" t="s">
        <v>56</v>
      </c>
      <c r="B46" s="1">
        <v>14</v>
      </c>
      <c r="C46" s="1">
        <v>22</v>
      </c>
      <c r="D46" s="1">
        <v>1</v>
      </c>
      <c r="E46" s="1">
        <v>97</v>
      </c>
      <c r="F46" s="1">
        <v>308</v>
      </c>
      <c r="G46" s="1">
        <v>5.08</v>
      </c>
      <c r="H46" s="1">
        <v>20.72</v>
      </c>
      <c r="I46" s="1">
        <v>22.14</v>
      </c>
      <c r="J46" s="1">
        <v>20.57</v>
      </c>
      <c r="K46" s="1">
        <v>19.899999999999999</v>
      </c>
      <c r="L46" s="1">
        <v>19.920000000000002</v>
      </c>
      <c r="O46" t="b">
        <f t="shared" si="5"/>
        <v>0</v>
      </c>
      <c r="P46" t="b">
        <f t="shared" si="6"/>
        <v>0</v>
      </c>
      <c r="Q46" t="b">
        <f t="shared" si="7"/>
        <v>0</v>
      </c>
      <c r="R46" t="b">
        <f t="shared" si="8"/>
        <v>1</v>
      </c>
      <c r="S46" t="b">
        <f t="shared" si="9"/>
        <v>0</v>
      </c>
      <c r="U46" t="b">
        <f t="shared" si="10"/>
        <v>0</v>
      </c>
      <c r="V46" t="b">
        <f t="shared" si="1"/>
        <v>1</v>
      </c>
      <c r="W46" t="b">
        <f t="shared" si="2"/>
        <v>0</v>
      </c>
      <c r="X46" t="b">
        <f t="shared" si="3"/>
        <v>0</v>
      </c>
      <c r="Y46" t="b">
        <f t="shared" si="4"/>
        <v>0</v>
      </c>
      <c r="AA46" t="b">
        <f t="shared" si="11"/>
        <v>1</v>
      </c>
      <c r="AC46" t="b">
        <f t="shared" si="12"/>
        <v>0</v>
      </c>
      <c r="AD46" t="b">
        <f t="shared" si="13"/>
        <v>1</v>
      </c>
      <c r="AE46" t="b">
        <f t="shared" si="14"/>
        <v>0</v>
      </c>
    </row>
    <row r="47" spans="1:31">
      <c r="A47" s="2" t="s">
        <v>57</v>
      </c>
      <c r="B47" s="1">
        <v>14</v>
      </c>
      <c r="C47" s="1">
        <v>22</v>
      </c>
      <c r="D47" s="1">
        <v>1</v>
      </c>
      <c r="E47" s="1">
        <v>145</v>
      </c>
      <c r="F47" s="1">
        <v>308</v>
      </c>
      <c r="G47" s="1">
        <v>11.43</v>
      </c>
      <c r="H47" s="1">
        <v>29.19</v>
      </c>
      <c r="I47" s="1">
        <v>31.35</v>
      </c>
      <c r="J47" s="1">
        <v>31.88</v>
      </c>
      <c r="K47" s="1">
        <v>28.68</v>
      </c>
      <c r="L47" s="1">
        <v>28.68</v>
      </c>
      <c r="O47" t="b">
        <f t="shared" si="5"/>
        <v>0</v>
      </c>
      <c r="P47" t="b">
        <f t="shared" si="6"/>
        <v>0</v>
      </c>
      <c r="Q47" t="b">
        <f t="shared" si="7"/>
        <v>0</v>
      </c>
      <c r="R47" t="b">
        <f t="shared" si="8"/>
        <v>1</v>
      </c>
      <c r="S47" t="b">
        <f t="shared" si="9"/>
        <v>1</v>
      </c>
      <c r="U47" t="b">
        <f t="shared" si="10"/>
        <v>0</v>
      </c>
      <c r="V47" t="b">
        <f t="shared" si="1"/>
        <v>0</v>
      </c>
      <c r="W47" t="b">
        <f t="shared" si="2"/>
        <v>1</v>
      </c>
      <c r="X47" t="b">
        <f t="shared" si="3"/>
        <v>0</v>
      </c>
      <c r="Y47" t="b">
        <f t="shared" si="4"/>
        <v>0</v>
      </c>
      <c r="AA47" t="b">
        <f t="shared" si="11"/>
        <v>1</v>
      </c>
      <c r="AC47" t="b">
        <f t="shared" si="12"/>
        <v>0</v>
      </c>
      <c r="AD47" t="b">
        <f t="shared" si="13"/>
        <v>0</v>
      </c>
      <c r="AE47" t="b">
        <f t="shared" si="14"/>
        <v>0</v>
      </c>
    </row>
    <row r="48" spans="1:31">
      <c r="A48" s="2" t="s">
        <v>58</v>
      </c>
      <c r="B48" s="1">
        <v>14</v>
      </c>
      <c r="C48" s="1">
        <v>22</v>
      </c>
      <c r="D48" s="1">
        <v>1</v>
      </c>
      <c r="E48" s="1">
        <v>150</v>
      </c>
      <c r="F48" s="1">
        <v>308</v>
      </c>
      <c r="G48" s="1">
        <v>11.43</v>
      </c>
      <c r="H48" s="1">
        <v>26.87</v>
      </c>
      <c r="I48" s="1">
        <v>28.89</v>
      </c>
      <c r="J48" s="1">
        <v>27.2</v>
      </c>
      <c r="K48" s="1">
        <v>26.24</v>
      </c>
      <c r="L48" s="1">
        <v>26.15</v>
      </c>
      <c r="O48" t="b">
        <f t="shared" si="5"/>
        <v>0</v>
      </c>
      <c r="P48" t="b">
        <f t="shared" si="6"/>
        <v>0</v>
      </c>
      <c r="Q48" t="b">
        <f t="shared" si="7"/>
        <v>0</v>
      </c>
      <c r="R48" t="b">
        <f t="shared" si="8"/>
        <v>0</v>
      </c>
      <c r="S48" t="b">
        <f t="shared" si="9"/>
        <v>1</v>
      </c>
      <c r="U48" t="b">
        <f t="shared" si="10"/>
        <v>0</v>
      </c>
      <c r="V48" t="b">
        <f t="shared" si="1"/>
        <v>1</v>
      </c>
      <c r="W48" t="b">
        <f t="shared" si="2"/>
        <v>0</v>
      </c>
      <c r="X48" t="b">
        <f t="shared" si="3"/>
        <v>0</v>
      </c>
      <c r="Y48" t="b">
        <f t="shared" si="4"/>
        <v>0</v>
      </c>
      <c r="AA48" t="b">
        <f t="shared" si="11"/>
        <v>1</v>
      </c>
      <c r="AC48" t="b">
        <f t="shared" si="12"/>
        <v>0</v>
      </c>
      <c r="AD48" t="b">
        <f t="shared" si="13"/>
        <v>0</v>
      </c>
      <c r="AE48" t="b">
        <f t="shared" si="14"/>
        <v>1</v>
      </c>
    </row>
    <row r="49" spans="1:31">
      <c r="A49" s="2" t="s">
        <v>59</v>
      </c>
      <c r="B49" s="1">
        <v>14</v>
      </c>
      <c r="C49" s="1">
        <v>22</v>
      </c>
      <c r="D49" s="1">
        <v>1</v>
      </c>
      <c r="E49" s="1">
        <v>289</v>
      </c>
      <c r="F49" s="1">
        <v>308</v>
      </c>
      <c r="G49" s="1">
        <v>7.43</v>
      </c>
      <c r="H49" s="1">
        <v>52.77</v>
      </c>
      <c r="I49" s="1">
        <v>57.19</v>
      </c>
      <c r="J49" s="1">
        <v>50.31</v>
      </c>
      <c r="K49" s="1">
        <v>50.86</v>
      </c>
      <c r="L49" s="1">
        <v>49.72</v>
      </c>
      <c r="O49" t="b">
        <f t="shared" si="5"/>
        <v>0</v>
      </c>
      <c r="P49" t="b">
        <f t="shared" si="6"/>
        <v>0</v>
      </c>
      <c r="Q49" t="b">
        <f t="shared" si="7"/>
        <v>0</v>
      </c>
      <c r="R49" t="b">
        <f t="shared" si="8"/>
        <v>0</v>
      </c>
      <c r="S49" t="b">
        <f t="shared" si="9"/>
        <v>1</v>
      </c>
      <c r="U49" t="b">
        <f t="shared" si="10"/>
        <v>0</v>
      </c>
      <c r="V49" t="b">
        <f t="shared" si="1"/>
        <v>1</v>
      </c>
      <c r="W49" t="b">
        <f t="shared" si="2"/>
        <v>0</v>
      </c>
      <c r="X49" t="b">
        <f t="shared" si="3"/>
        <v>0</v>
      </c>
      <c r="Y49" t="b">
        <f t="shared" si="4"/>
        <v>0</v>
      </c>
      <c r="AA49" t="b">
        <f t="shared" si="11"/>
        <v>1</v>
      </c>
      <c r="AC49" t="b">
        <f t="shared" si="12"/>
        <v>0</v>
      </c>
      <c r="AD49" t="b">
        <f t="shared" si="13"/>
        <v>0</v>
      </c>
      <c r="AE49" t="b">
        <f t="shared" si="14"/>
        <v>1</v>
      </c>
    </row>
    <row r="50" spans="1:31">
      <c r="A50" s="2" t="s">
        <v>60</v>
      </c>
      <c r="B50" s="1">
        <v>14</v>
      </c>
      <c r="C50" s="1">
        <v>22</v>
      </c>
      <c r="D50" s="1">
        <v>1</v>
      </c>
      <c r="E50" s="1">
        <v>294</v>
      </c>
      <c r="F50" s="1">
        <v>308</v>
      </c>
      <c r="G50" s="1">
        <v>7.95</v>
      </c>
      <c r="H50" s="1">
        <v>1.1599999999999999</v>
      </c>
      <c r="I50" s="1">
        <v>1.31</v>
      </c>
      <c r="J50" s="1">
        <v>1.17</v>
      </c>
      <c r="K50" s="1">
        <v>1.2</v>
      </c>
      <c r="L50" s="1">
        <v>1.21</v>
      </c>
      <c r="O50" t="b">
        <f t="shared" si="5"/>
        <v>1</v>
      </c>
      <c r="P50" t="b">
        <f t="shared" si="6"/>
        <v>0</v>
      </c>
      <c r="Q50" t="b">
        <f t="shared" si="7"/>
        <v>0</v>
      </c>
      <c r="R50" t="b">
        <f t="shared" si="8"/>
        <v>0</v>
      </c>
      <c r="S50" t="b">
        <f t="shared" si="9"/>
        <v>0</v>
      </c>
      <c r="U50" t="b">
        <f t="shared" si="10"/>
        <v>0</v>
      </c>
      <c r="V50" t="b">
        <f t="shared" si="1"/>
        <v>1</v>
      </c>
      <c r="W50" t="b">
        <f t="shared" si="2"/>
        <v>0</v>
      </c>
      <c r="X50" t="b">
        <f t="shared" si="3"/>
        <v>0</v>
      </c>
      <c r="Y50" t="b">
        <f t="shared" si="4"/>
        <v>0</v>
      </c>
      <c r="AA50" t="b">
        <f t="shared" si="11"/>
        <v>0</v>
      </c>
      <c r="AC50" t="b">
        <f t="shared" si="12"/>
        <v>1</v>
      </c>
      <c r="AD50" t="b">
        <f t="shared" si="13"/>
        <v>0</v>
      </c>
      <c r="AE50" t="b">
        <f t="shared" si="14"/>
        <v>0</v>
      </c>
    </row>
    <row r="51" spans="1:31">
      <c r="A51" s="2" t="s">
        <v>61</v>
      </c>
      <c r="B51" s="1">
        <v>14</v>
      </c>
      <c r="C51" s="1">
        <v>22</v>
      </c>
      <c r="D51" s="1">
        <v>1</v>
      </c>
      <c r="E51" s="1">
        <v>302</v>
      </c>
      <c r="F51" s="1">
        <v>308</v>
      </c>
      <c r="G51" s="1">
        <v>4.3099999999999996</v>
      </c>
      <c r="H51" s="1">
        <v>19.59</v>
      </c>
      <c r="I51" s="1">
        <v>20.91</v>
      </c>
      <c r="J51" s="1">
        <v>22.1</v>
      </c>
      <c r="K51" s="1">
        <v>19.510000000000002</v>
      </c>
      <c r="L51" s="1">
        <v>19.510000000000002</v>
      </c>
      <c r="O51" t="b">
        <f t="shared" si="5"/>
        <v>0</v>
      </c>
      <c r="P51" t="b">
        <f t="shared" si="6"/>
        <v>0</v>
      </c>
      <c r="Q51" t="b">
        <f t="shared" si="7"/>
        <v>0</v>
      </c>
      <c r="R51" t="b">
        <f t="shared" si="8"/>
        <v>1</v>
      </c>
      <c r="S51" t="b">
        <f t="shared" si="9"/>
        <v>1</v>
      </c>
      <c r="U51" t="b">
        <f t="shared" si="10"/>
        <v>0</v>
      </c>
      <c r="V51" t="b">
        <f t="shared" si="1"/>
        <v>0</v>
      </c>
      <c r="W51" t="b">
        <f t="shared" si="2"/>
        <v>1</v>
      </c>
      <c r="X51" t="b">
        <f t="shared" si="3"/>
        <v>0</v>
      </c>
      <c r="Y51" t="b">
        <f t="shared" si="4"/>
        <v>0</v>
      </c>
      <c r="AA51" t="b">
        <f t="shared" si="11"/>
        <v>1</v>
      </c>
      <c r="AC51" t="b">
        <f t="shared" si="12"/>
        <v>0</v>
      </c>
      <c r="AD51" t="b">
        <f t="shared" si="13"/>
        <v>0</v>
      </c>
      <c r="AE51" t="b">
        <f t="shared" si="14"/>
        <v>0</v>
      </c>
    </row>
    <row r="52" spans="1:31">
      <c r="A52" s="2" t="s">
        <v>62</v>
      </c>
      <c r="B52" s="1">
        <v>16</v>
      </c>
      <c r="C52" s="1">
        <v>24</v>
      </c>
      <c r="D52" s="1">
        <v>1</v>
      </c>
      <c r="E52" s="1">
        <v>353</v>
      </c>
      <c r="F52" s="1">
        <v>384</v>
      </c>
      <c r="G52" s="1">
        <v>9.2799999999999994</v>
      </c>
      <c r="H52" s="1">
        <v>23.77</v>
      </c>
      <c r="I52" s="1">
        <v>25.2</v>
      </c>
      <c r="J52" s="1">
        <v>22.4</v>
      </c>
      <c r="K52" s="1">
        <v>23.48</v>
      </c>
      <c r="L52" s="1">
        <v>23.42</v>
      </c>
      <c r="O52" t="b">
        <f t="shared" si="5"/>
        <v>0</v>
      </c>
      <c r="P52" t="b">
        <f t="shared" si="6"/>
        <v>0</v>
      </c>
      <c r="Q52" t="b">
        <f t="shared" si="7"/>
        <v>1</v>
      </c>
      <c r="R52" t="b">
        <f t="shared" si="8"/>
        <v>0</v>
      </c>
      <c r="S52" t="b">
        <f t="shared" si="9"/>
        <v>0</v>
      </c>
      <c r="U52" t="b">
        <f t="shared" si="10"/>
        <v>0</v>
      </c>
      <c r="V52" t="b">
        <f t="shared" si="1"/>
        <v>1</v>
      </c>
      <c r="W52" t="b">
        <f t="shared" si="2"/>
        <v>0</v>
      </c>
      <c r="X52" t="b">
        <f t="shared" si="3"/>
        <v>0</v>
      </c>
      <c r="Y52" t="b">
        <f t="shared" si="4"/>
        <v>0</v>
      </c>
      <c r="AA52" t="b">
        <f t="shared" si="11"/>
        <v>1</v>
      </c>
      <c r="AC52" t="b">
        <f t="shared" si="12"/>
        <v>1</v>
      </c>
      <c r="AD52" t="b">
        <f t="shared" si="13"/>
        <v>0</v>
      </c>
      <c r="AE52" t="b">
        <f t="shared" si="14"/>
        <v>0</v>
      </c>
    </row>
    <row r="53" spans="1:31">
      <c r="A53" s="2" t="s">
        <v>63</v>
      </c>
      <c r="B53" s="1">
        <v>16</v>
      </c>
      <c r="C53" s="1">
        <v>24</v>
      </c>
      <c r="D53" s="1">
        <v>1</v>
      </c>
      <c r="E53" s="1">
        <v>353</v>
      </c>
      <c r="F53" s="1">
        <v>384</v>
      </c>
      <c r="G53" s="1">
        <v>9.59</v>
      </c>
      <c r="H53" s="1">
        <v>28.4</v>
      </c>
      <c r="I53" s="1">
        <v>30</v>
      </c>
      <c r="J53" s="1">
        <v>26.71</v>
      </c>
      <c r="K53" s="1">
        <v>27.27</v>
      </c>
      <c r="L53" s="1">
        <v>27.49</v>
      </c>
      <c r="O53" t="b">
        <f t="shared" si="5"/>
        <v>0</v>
      </c>
      <c r="P53" t="b">
        <f t="shared" si="6"/>
        <v>0</v>
      </c>
      <c r="Q53" t="b">
        <f t="shared" si="7"/>
        <v>1</v>
      </c>
      <c r="R53" t="b">
        <f t="shared" si="8"/>
        <v>0</v>
      </c>
      <c r="S53" t="b">
        <f t="shared" si="9"/>
        <v>0</v>
      </c>
      <c r="U53" t="b">
        <f t="shared" si="10"/>
        <v>0</v>
      </c>
      <c r="V53" t="b">
        <f t="shared" si="1"/>
        <v>1</v>
      </c>
      <c r="W53" t="b">
        <f t="shared" si="2"/>
        <v>0</v>
      </c>
      <c r="X53" t="b">
        <f t="shared" si="3"/>
        <v>0</v>
      </c>
      <c r="Y53" t="b">
        <f t="shared" si="4"/>
        <v>0</v>
      </c>
      <c r="AA53" t="b">
        <f t="shared" si="11"/>
        <v>1</v>
      </c>
      <c r="AC53" t="b">
        <f t="shared" si="12"/>
        <v>1</v>
      </c>
      <c r="AD53" t="b">
        <f t="shared" si="13"/>
        <v>0</v>
      </c>
      <c r="AE53" t="b">
        <f t="shared" si="14"/>
        <v>0</v>
      </c>
    </row>
    <row r="54" spans="1:31">
      <c r="A54" s="2" t="s">
        <v>64</v>
      </c>
      <c r="B54" s="1">
        <v>14</v>
      </c>
      <c r="C54" s="1">
        <v>22</v>
      </c>
      <c r="D54" s="1">
        <v>2</v>
      </c>
      <c r="E54" s="1">
        <v>193</v>
      </c>
      <c r="F54" s="1">
        <v>614</v>
      </c>
      <c r="G54" s="1">
        <v>1145.54</v>
      </c>
      <c r="H54" s="1">
        <v>105.6</v>
      </c>
      <c r="I54" s="1">
        <v>112.02</v>
      </c>
      <c r="J54" s="1">
        <v>100.13</v>
      </c>
      <c r="K54" s="1">
        <v>10000000</v>
      </c>
      <c r="L54" s="1">
        <v>99.52</v>
      </c>
      <c r="O54" t="b">
        <f t="shared" si="5"/>
        <v>0</v>
      </c>
      <c r="P54" t="b">
        <f t="shared" si="6"/>
        <v>0</v>
      </c>
      <c r="Q54" t="b">
        <f t="shared" si="7"/>
        <v>0</v>
      </c>
      <c r="R54" t="b">
        <f t="shared" si="8"/>
        <v>0</v>
      </c>
      <c r="S54" t="b">
        <f t="shared" si="9"/>
        <v>1</v>
      </c>
      <c r="U54" t="b">
        <f t="shared" si="10"/>
        <v>0</v>
      </c>
      <c r="V54" t="b">
        <f t="shared" si="1"/>
        <v>0</v>
      </c>
      <c r="W54" t="b">
        <f t="shared" si="2"/>
        <v>0</v>
      </c>
      <c r="X54" t="b">
        <f t="shared" si="3"/>
        <v>1</v>
      </c>
      <c r="Y54" t="b">
        <f t="shared" si="4"/>
        <v>0</v>
      </c>
      <c r="AA54" t="b">
        <f t="shared" si="11"/>
        <v>1</v>
      </c>
      <c r="AC54" t="b">
        <f t="shared" si="12"/>
        <v>0</v>
      </c>
      <c r="AD54" t="b">
        <f t="shared" si="13"/>
        <v>0</v>
      </c>
      <c r="AE54" t="b">
        <f t="shared" si="14"/>
        <v>1</v>
      </c>
    </row>
    <row r="55" spans="1:31">
      <c r="A55" s="2" t="s">
        <v>65</v>
      </c>
      <c r="B55" s="1">
        <v>14</v>
      </c>
      <c r="C55" s="1">
        <v>22</v>
      </c>
      <c r="D55" s="1">
        <v>2</v>
      </c>
      <c r="E55" s="1">
        <v>150</v>
      </c>
      <c r="F55" s="1">
        <v>616</v>
      </c>
      <c r="G55" s="1">
        <v>147.97999999999999</v>
      </c>
      <c r="H55" s="1">
        <v>52.29</v>
      </c>
      <c r="I55" s="1">
        <v>58.09</v>
      </c>
      <c r="J55" s="1">
        <v>54.47</v>
      </c>
      <c r="K55" s="1">
        <v>53.49</v>
      </c>
      <c r="L55" s="1">
        <v>52.93</v>
      </c>
      <c r="O55" t="b">
        <f t="shared" si="5"/>
        <v>1</v>
      </c>
      <c r="P55" t="b">
        <f t="shared" si="6"/>
        <v>0</v>
      </c>
      <c r="Q55" t="b">
        <f t="shared" si="7"/>
        <v>0</v>
      </c>
      <c r="R55" t="b">
        <f t="shared" si="8"/>
        <v>0</v>
      </c>
      <c r="S55" t="b">
        <f t="shared" si="9"/>
        <v>0</v>
      </c>
      <c r="U55" t="b">
        <f t="shared" si="10"/>
        <v>0</v>
      </c>
      <c r="V55" t="b">
        <f t="shared" si="1"/>
        <v>1</v>
      </c>
      <c r="W55" t="b">
        <f t="shared" si="2"/>
        <v>0</v>
      </c>
      <c r="X55" t="b">
        <f t="shared" si="3"/>
        <v>0</v>
      </c>
      <c r="Y55" t="b">
        <f t="shared" si="4"/>
        <v>0</v>
      </c>
      <c r="AA55" t="b">
        <f t="shared" si="11"/>
        <v>0</v>
      </c>
      <c r="AC55" t="b">
        <f t="shared" si="12"/>
        <v>0</v>
      </c>
      <c r="AD55" t="b">
        <f t="shared" si="13"/>
        <v>0</v>
      </c>
      <c r="AE55" t="b">
        <f t="shared" si="14"/>
        <v>1</v>
      </c>
    </row>
    <row r="56" spans="1:31">
      <c r="A56" s="2" t="s">
        <v>66</v>
      </c>
      <c r="B56" s="1">
        <v>14</v>
      </c>
      <c r="C56" s="1">
        <v>22</v>
      </c>
      <c r="D56" s="1">
        <v>2</v>
      </c>
      <c r="E56" s="1">
        <v>150</v>
      </c>
      <c r="F56" s="1">
        <v>616</v>
      </c>
      <c r="G56" s="1">
        <v>151.41</v>
      </c>
      <c r="H56" s="1">
        <v>52.61</v>
      </c>
      <c r="I56" s="1">
        <v>59</v>
      </c>
      <c r="J56" s="1">
        <v>54.4</v>
      </c>
      <c r="K56" s="1">
        <v>53.49</v>
      </c>
      <c r="L56" s="1">
        <v>52.72</v>
      </c>
      <c r="O56" t="b">
        <f t="shared" si="5"/>
        <v>1</v>
      </c>
      <c r="P56" t="b">
        <f t="shared" si="6"/>
        <v>0</v>
      </c>
      <c r="Q56" t="b">
        <f t="shared" si="7"/>
        <v>0</v>
      </c>
      <c r="R56" t="b">
        <f t="shared" si="8"/>
        <v>0</v>
      </c>
      <c r="S56" t="b">
        <f t="shared" si="9"/>
        <v>0</v>
      </c>
      <c r="U56" t="b">
        <f t="shared" si="10"/>
        <v>0</v>
      </c>
      <c r="V56" t="b">
        <f t="shared" si="1"/>
        <v>1</v>
      </c>
      <c r="W56" t="b">
        <f t="shared" si="2"/>
        <v>0</v>
      </c>
      <c r="X56" t="b">
        <f t="shared" si="3"/>
        <v>0</v>
      </c>
      <c r="Y56" t="b">
        <f t="shared" si="4"/>
        <v>0</v>
      </c>
      <c r="AA56" t="b">
        <f t="shared" si="11"/>
        <v>0</v>
      </c>
      <c r="AC56" t="b">
        <f t="shared" si="12"/>
        <v>0</v>
      </c>
      <c r="AD56" t="b">
        <f t="shared" si="13"/>
        <v>0</v>
      </c>
      <c r="AE56" t="b">
        <f t="shared" si="14"/>
        <v>1</v>
      </c>
    </row>
    <row r="57" spans="1:31">
      <c r="A57" s="2" t="s">
        <v>67</v>
      </c>
      <c r="B57" s="1">
        <v>14</v>
      </c>
      <c r="C57" s="1">
        <v>22</v>
      </c>
      <c r="D57" s="1">
        <v>2</v>
      </c>
      <c r="E57" s="1">
        <v>150</v>
      </c>
      <c r="F57" s="1">
        <v>616</v>
      </c>
      <c r="G57" s="1">
        <v>148.76</v>
      </c>
      <c r="H57" s="1">
        <v>53.23</v>
      </c>
      <c r="I57" s="1">
        <v>59.16</v>
      </c>
      <c r="J57" s="1">
        <v>54.54</v>
      </c>
      <c r="K57" s="1">
        <v>52.71</v>
      </c>
      <c r="L57" s="1">
        <v>52.5</v>
      </c>
      <c r="O57" t="b">
        <f t="shared" si="5"/>
        <v>0</v>
      </c>
      <c r="P57" t="b">
        <f t="shared" si="6"/>
        <v>0</v>
      </c>
      <c r="Q57" t="b">
        <f t="shared" si="7"/>
        <v>0</v>
      </c>
      <c r="R57" t="b">
        <f t="shared" si="8"/>
        <v>0</v>
      </c>
      <c r="S57" t="b">
        <f t="shared" si="9"/>
        <v>1</v>
      </c>
      <c r="U57" t="b">
        <f t="shared" si="10"/>
        <v>0</v>
      </c>
      <c r="V57" t="b">
        <f t="shared" si="1"/>
        <v>1</v>
      </c>
      <c r="W57" t="b">
        <f t="shared" si="2"/>
        <v>0</v>
      </c>
      <c r="X57" t="b">
        <f t="shared" si="3"/>
        <v>0</v>
      </c>
      <c r="Y57" t="b">
        <f t="shared" si="4"/>
        <v>0</v>
      </c>
      <c r="AA57" t="b">
        <f t="shared" si="11"/>
        <v>1</v>
      </c>
      <c r="AC57" t="b">
        <f t="shared" si="12"/>
        <v>0</v>
      </c>
      <c r="AD57" t="b">
        <f t="shared" si="13"/>
        <v>0</v>
      </c>
      <c r="AE57" t="b">
        <f t="shared" si="14"/>
        <v>1</v>
      </c>
    </row>
    <row r="58" spans="1:31">
      <c r="A58" s="2" t="s">
        <v>68</v>
      </c>
      <c r="B58" s="1">
        <v>14</v>
      </c>
      <c r="C58" s="1">
        <v>22</v>
      </c>
      <c r="D58" s="1">
        <v>2</v>
      </c>
      <c r="E58" s="1">
        <v>270</v>
      </c>
      <c r="F58" s="1">
        <v>616</v>
      </c>
      <c r="G58" s="1">
        <v>25.14</v>
      </c>
      <c r="H58" s="1">
        <v>35.04</v>
      </c>
      <c r="I58" s="1">
        <v>36.24</v>
      </c>
      <c r="J58" s="1">
        <v>33</v>
      </c>
      <c r="K58" s="1">
        <v>34.590000000000003</v>
      </c>
      <c r="L58" s="1">
        <v>34.83</v>
      </c>
      <c r="O58" t="b">
        <f t="shared" si="5"/>
        <v>0</v>
      </c>
      <c r="P58" t="b">
        <f t="shared" si="6"/>
        <v>0</v>
      </c>
      <c r="Q58" t="b">
        <f t="shared" si="7"/>
        <v>1</v>
      </c>
      <c r="R58" t="b">
        <f t="shared" si="8"/>
        <v>0</v>
      </c>
      <c r="S58" t="b">
        <f t="shared" si="9"/>
        <v>0</v>
      </c>
      <c r="U58" t="b">
        <f t="shared" si="10"/>
        <v>0</v>
      </c>
      <c r="V58" t="b">
        <f t="shared" si="1"/>
        <v>1</v>
      </c>
      <c r="W58" t="b">
        <f t="shared" si="2"/>
        <v>0</v>
      </c>
      <c r="X58" t="b">
        <f t="shared" si="3"/>
        <v>0</v>
      </c>
      <c r="Y58" t="b">
        <f t="shared" si="4"/>
        <v>0</v>
      </c>
      <c r="AA58" t="b">
        <f t="shared" si="11"/>
        <v>1</v>
      </c>
      <c r="AC58" t="b">
        <f t="shared" si="12"/>
        <v>1</v>
      </c>
      <c r="AD58" t="b">
        <f t="shared" si="13"/>
        <v>0</v>
      </c>
      <c r="AE58" t="b">
        <f t="shared" si="14"/>
        <v>0</v>
      </c>
    </row>
    <row r="59" spans="1:31">
      <c r="A59" s="2" t="s">
        <v>69</v>
      </c>
      <c r="B59" s="1">
        <v>14</v>
      </c>
      <c r="C59" s="1">
        <v>22</v>
      </c>
      <c r="D59" s="1">
        <v>2</v>
      </c>
      <c r="E59" s="1">
        <v>282</v>
      </c>
      <c r="F59" s="1">
        <v>616</v>
      </c>
      <c r="G59" s="1">
        <v>456.87</v>
      </c>
      <c r="H59" s="1">
        <v>89.83</v>
      </c>
      <c r="I59" s="1">
        <v>99.79</v>
      </c>
      <c r="J59" s="1">
        <v>84.05</v>
      </c>
      <c r="K59" s="1">
        <v>86.35</v>
      </c>
      <c r="L59" s="1">
        <v>85.44</v>
      </c>
      <c r="O59" t="b">
        <f t="shared" si="5"/>
        <v>0</v>
      </c>
      <c r="P59" t="b">
        <f t="shared" si="6"/>
        <v>0</v>
      </c>
      <c r="Q59" t="b">
        <f t="shared" si="7"/>
        <v>1</v>
      </c>
      <c r="R59" t="b">
        <f t="shared" si="8"/>
        <v>0</v>
      </c>
      <c r="S59" t="b">
        <f t="shared" si="9"/>
        <v>0</v>
      </c>
      <c r="U59" t="b">
        <f t="shared" si="10"/>
        <v>0</v>
      </c>
      <c r="V59" t="b">
        <f t="shared" si="1"/>
        <v>1</v>
      </c>
      <c r="W59" t="b">
        <f t="shared" si="2"/>
        <v>0</v>
      </c>
      <c r="X59" t="b">
        <f t="shared" si="3"/>
        <v>0</v>
      </c>
      <c r="Y59" t="b">
        <f t="shared" si="4"/>
        <v>0</v>
      </c>
      <c r="AA59" t="b">
        <f t="shared" si="11"/>
        <v>1</v>
      </c>
      <c r="AC59" t="b">
        <f t="shared" si="12"/>
        <v>1</v>
      </c>
      <c r="AD59" t="b">
        <f t="shared" si="13"/>
        <v>0</v>
      </c>
      <c r="AE59" t="b">
        <f t="shared" si="14"/>
        <v>0</v>
      </c>
    </row>
    <row r="60" spans="1:31">
      <c r="A60" s="2" t="s">
        <v>70</v>
      </c>
      <c r="B60" s="1">
        <v>16</v>
      </c>
      <c r="C60" s="1">
        <v>24</v>
      </c>
      <c r="D60" s="1">
        <v>2</v>
      </c>
      <c r="E60" s="1">
        <v>353</v>
      </c>
      <c r="F60" s="1">
        <v>768</v>
      </c>
      <c r="G60" s="1">
        <v>550.99</v>
      </c>
      <c r="H60" s="1">
        <v>46.96</v>
      </c>
      <c r="I60" s="1">
        <v>50.14</v>
      </c>
      <c r="J60" s="1">
        <v>45.75</v>
      </c>
      <c r="K60" s="1">
        <v>47.6</v>
      </c>
      <c r="L60" s="1">
        <v>47.25</v>
      </c>
      <c r="O60" t="b">
        <f t="shared" si="5"/>
        <v>0</v>
      </c>
      <c r="P60" t="b">
        <f t="shared" si="6"/>
        <v>0</v>
      </c>
      <c r="Q60" t="b">
        <f t="shared" si="7"/>
        <v>1</v>
      </c>
      <c r="R60" t="b">
        <f t="shared" si="8"/>
        <v>0</v>
      </c>
      <c r="S60" t="b">
        <f t="shared" si="9"/>
        <v>0</v>
      </c>
      <c r="U60" t="b">
        <f t="shared" si="10"/>
        <v>0</v>
      </c>
      <c r="V60" t="b">
        <f t="shared" si="1"/>
        <v>1</v>
      </c>
      <c r="W60" t="b">
        <f t="shared" si="2"/>
        <v>0</v>
      </c>
      <c r="X60" t="b">
        <f t="shared" si="3"/>
        <v>0</v>
      </c>
      <c r="Y60" t="b">
        <f t="shared" si="4"/>
        <v>0</v>
      </c>
      <c r="AA60" t="b">
        <f t="shared" si="11"/>
        <v>1</v>
      </c>
      <c r="AC60" t="b">
        <f t="shared" si="12"/>
        <v>1</v>
      </c>
      <c r="AD60" t="b">
        <f t="shared" si="13"/>
        <v>0</v>
      </c>
      <c r="AE60" t="b">
        <f t="shared" si="14"/>
        <v>0</v>
      </c>
    </row>
    <row r="61" spans="1:31">
      <c r="A61" s="2" t="s">
        <v>71</v>
      </c>
      <c r="B61" s="1">
        <v>16</v>
      </c>
      <c r="C61" s="1">
        <v>24</v>
      </c>
      <c r="D61" s="1">
        <v>2</v>
      </c>
      <c r="E61" s="1">
        <v>353</v>
      </c>
      <c r="F61" s="1">
        <v>768</v>
      </c>
      <c r="G61" s="1">
        <v>145.44999999999999</v>
      </c>
      <c r="H61" s="1">
        <v>57.05</v>
      </c>
      <c r="I61" s="1">
        <v>59.26</v>
      </c>
      <c r="J61" s="1">
        <v>54.09</v>
      </c>
      <c r="K61" s="1">
        <v>55.19</v>
      </c>
      <c r="L61" s="1">
        <v>55.1</v>
      </c>
      <c r="O61" t="b">
        <f t="shared" si="5"/>
        <v>0</v>
      </c>
      <c r="P61" t="b">
        <f t="shared" si="6"/>
        <v>0</v>
      </c>
      <c r="Q61" t="b">
        <f t="shared" si="7"/>
        <v>1</v>
      </c>
      <c r="R61" t="b">
        <f t="shared" si="8"/>
        <v>0</v>
      </c>
      <c r="S61" t="b">
        <f t="shared" si="9"/>
        <v>0</v>
      </c>
      <c r="U61" t="b">
        <f t="shared" si="10"/>
        <v>0</v>
      </c>
      <c r="V61" t="b">
        <f t="shared" si="1"/>
        <v>1</v>
      </c>
      <c r="W61" t="b">
        <f t="shared" si="2"/>
        <v>0</v>
      </c>
      <c r="X61" t="b">
        <f t="shared" si="3"/>
        <v>0</v>
      </c>
      <c r="Y61" t="b">
        <f t="shared" si="4"/>
        <v>0</v>
      </c>
      <c r="AA61" t="b">
        <f t="shared" si="11"/>
        <v>1</v>
      </c>
      <c r="AC61" t="b">
        <f t="shared" si="12"/>
        <v>1</v>
      </c>
      <c r="AD61" t="b">
        <f t="shared" si="13"/>
        <v>0</v>
      </c>
      <c r="AE61" t="b">
        <f t="shared" si="14"/>
        <v>0</v>
      </c>
    </row>
    <row r="62" spans="1:31">
      <c r="A62" s="2" t="s">
        <v>72</v>
      </c>
      <c r="B62" s="1">
        <v>14</v>
      </c>
      <c r="C62" s="1">
        <v>22</v>
      </c>
      <c r="D62" s="1">
        <v>3</v>
      </c>
      <c r="E62" s="1">
        <v>278</v>
      </c>
      <c r="F62" s="1">
        <v>921</v>
      </c>
      <c r="G62" s="1">
        <v>2209.67</v>
      </c>
      <c r="H62" s="1">
        <v>160.83000000000001</v>
      </c>
      <c r="I62" s="1">
        <v>171.64</v>
      </c>
      <c r="J62" s="1">
        <v>150.37</v>
      </c>
      <c r="K62" s="1">
        <v>10000000</v>
      </c>
      <c r="L62" s="1">
        <v>149.65</v>
      </c>
      <c r="O62" t="b">
        <f t="shared" si="5"/>
        <v>0</v>
      </c>
      <c r="P62" t="b">
        <f t="shared" si="6"/>
        <v>0</v>
      </c>
      <c r="Q62" t="b">
        <f t="shared" si="7"/>
        <v>0</v>
      </c>
      <c r="R62" t="b">
        <f t="shared" si="8"/>
        <v>0</v>
      </c>
      <c r="S62" t="b">
        <f t="shared" si="9"/>
        <v>1</v>
      </c>
      <c r="U62" t="b">
        <f t="shared" si="10"/>
        <v>0</v>
      </c>
      <c r="V62" t="b">
        <f t="shared" si="1"/>
        <v>0</v>
      </c>
      <c r="W62" t="b">
        <f t="shared" si="2"/>
        <v>0</v>
      </c>
      <c r="X62" t="b">
        <f t="shared" si="3"/>
        <v>1</v>
      </c>
      <c r="Y62" t="b">
        <f t="shared" si="4"/>
        <v>0</v>
      </c>
      <c r="AA62" t="b">
        <f t="shared" si="11"/>
        <v>1</v>
      </c>
      <c r="AC62" t="b">
        <f t="shared" si="12"/>
        <v>0</v>
      </c>
      <c r="AD62" t="b">
        <f t="shared" si="13"/>
        <v>0</v>
      </c>
      <c r="AE62" t="b">
        <f t="shared" si="14"/>
        <v>1</v>
      </c>
    </row>
    <row r="63" spans="1:31">
      <c r="A63" s="2" t="s">
        <v>73</v>
      </c>
      <c r="B63" s="1">
        <v>16</v>
      </c>
      <c r="C63" s="1">
        <v>24</v>
      </c>
      <c r="D63" s="1">
        <v>3</v>
      </c>
      <c r="E63" s="1">
        <v>353</v>
      </c>
      <c r="F63" s="1">
        <v>1152</v>
      </c>
      <c r="G63" s="1">
        <v>172.57</v>
      </c>
      <c r="H63" s="1">
        <v>71.67</v>
      </c>
      <c r="I63" s="1">
        <v>76.53</v>
      </c>
      <c r="J63" s="1">
        <v>69.709999999999994</v>
      </c>
      <c r="K63" s="1">
        <v>10000000</v>
      </c>
      <c r="L63" s="1">
        <v>10000000</v>
      </c>
      <c r="O63" t="b">
        <f t="shared" si="5"/>
        <v>0</v>
      </c>
      <c r="P63" t="b">
        <f t="shared" si="6"/>
        <v>0</v>
      </c>
      <c r="Q63" t="b">
        <f t="shared" si="7"/>
        <v>1</v>
      </c>
      <c r="R63" t="b">
        <f t="shared" si="8"/>
        <v>0</v>
      </c>
      <c r="S63" t="b">
        <f t="shared" si="9"/>
        <v>0</v>
      </c>
      <c r="U63" t="b">
        <f t="shared" si="10"/>
        <v>0</v>
      </c>
      <c r="V63" t="b">
        <f t="shared" si="1"/>
        <v>0</v>
      </c>
      <c r="W63" t="b">
        <f t="shared" si="2"/>
        <v>0</v>
      </c>
      <c r="X63" t="b">
        <f t="shared" si="3"/>
        <v>1</v>
      </c>
      <c r="Y63" t="b">
        <f t="shared" si="4"/>
        <v>1</v>
      </c>
      <c r="AA63" t="b">
        <f t="shared" si="11"/>
        <v>1</v>
      </c>
      <c r="AC63" t="b">
        <f t="shared" si="12"/>
        <v>1</v>
      </c>
      <c r="AD63" t="b">
        <f t="shared" si="13"/>
        <v>0</v>
      </c>
      <c r="AE63" t="b">
        <f t="shared" si="14"/>
        <v>0</v>
      </c>
    </row>
    <row r="64" spans="1:31">
      <c r="A64" s="2" t="s">
        <v>74</v>
      </c>
      <c r="B64" s="1">
        <v>14</v>
      </c>
      <c r="C64" s="1">
        <v>22</v>
      </c>
      <c r="D64" s="1">
        <v>4</v>
      </c>
      <c r="E64" s="1">
        <v>363</v>
      </c>
      <c r="F64" s="1">
        <v>1228</v>
      </c>
      <c r="G64" s="1">
        <v>2153.2399999999998</v>
      </c>
      <c r="H64" s="1">
        <v>10000000</v>
      </c>
      <c r="I64" s="1">
        <v>227.88</v>
      </c>
      <c r="J64" s="1">
        <v>199.6</v>
      </c>
      <c r="K64" s="1">
        <v>10000000</v>
      </c>
      <c r="L64" s="1">
        <v>200.25</v>
      </c>
      <c r="O64" t="b">
        <f t="shared" si="5"/>
        <v>0</v>
      </c>
      <c r="P64" t="b">
        <f t="shared" si="6"/>
        <v>0</v>
      </c>
      <c r="Q64" t="b">
        <f t="shared" si="7"/>
        <v>1</v>
      </c>
      <c r="R64" t="b">
        <f t="shared" si="8"/>
        <v>0</v>
      </c>
      <c r="S64" t="b">
        <f t="shared" si="9"/>
        <v>0</v>
      </c>
      <c r="U64" t="b">
        <f t="shared" si="10"/>
        <v>1</v>
      </c>
      <c r="V64" t="b">
        <f t="shared" si="1"/>
        <v>0</v>
      </c>
      <c r="W64" t="b">
        <f t="shared" si="2"/>
        <v>0</v>
      </c>
      <c r="X64" t="b">
        <f t="shared" si="3"/>
        <v>1</v>
      </c>
      <c r="Y64" t="b">
        <f t="shared" si="4"/>
        <v>0</v>
      </c>
      <c r="AA64" t="b">
        <f t="shared" si="11"/>
        <v>1</v>
      </c>
      <c r="AC64" t="b">
        <f t="shared" si="12"/>
        <v>1</v>
      </c>
      <c r="AD64" t="b">
        <f t="shared" si="13"/>
        <v>0</v>
      </c>
      <c r="AE64" t="b">
        <f t="shared" si="14"/>
        <v>0</v>
      </c>
    </row>
    <row r="65" spans="1:31">
      <c r="A65" s="2" t="s">
        <v>75</v>
      </c>
      <c r="B65" s="1">
        <v>16</v>
      </c>
      <c r="C65" s="1">
        <v>24</v>
      </c>
      <c r="D65" s="1">
        <v>4</v>
      </c>
      <c r="E65" s="1">
        <v>353</v>
      </c>
      <c r="F65" s="1">
        <v>1536</v>
      </c>
      <c r="G65" s="1">
        <v>8458.89</v>
      </c>
      <c r="H65" s="1">
        <v>10000000</v>
      </c>
      <c r="I65" s="1">
        <v>99.72</v>
      </c>
      <c r="J65" s="1">
        <v>93.19</v>
      </c>
      <c r="K65" s="1">
        <v>10000000</v>
      </c>
      <c r="L65" s="1">
        <v>10000000</v>
      </c>
      <c r="O65" t="b">
        <f t="shared" si="5"/>
        <v>0</v>
      </c>
      <c r="P65" t="b">
        <f t="shared" si="6"/>
        <v>0</v>
      </c>
      <c r="Q65" t="b">
        <f t="shared" si="7"/>
        <v>1</v>
      </c>
      <c r="R65" t="b">
        <f t="shared" si="8"/>
        <v>0</v>
      </c>
      <c r="S65" t="b">
        <f t="shared" si="9"/>
        <v>0</v>
      </c>
      <c r="U65" t="b">
        <f t="shared" si="10"/>
        <v>1</v>
      </c>
      <c r="V65" t="b">
        <f t="shared" si="1"/>
        <v>0</v>
      </c>
      <c r="W65" t="b">
        <f t="shared" si="2"/>
        <v>0</v>
      </c>
      <c r="X65" t="b">
        <f t="shared" si="3"/>
        <v>1</v>
      </c>
      <c r="Y65" t="b">
        <f t="shared" si="4"/>
        <v>1</v>
      </c>
      <c r="AA65" t="b">
        <f t="shared" si="11"/>
        <v>1</v>
      </c>
      <c r="AC65" t="b">
        <f t="shared" si="12"/>
        <v>1</v>
      </c>
      <c r="AD65" t="b">
        <f t="shared" si="13"/>
        <v>0</v>
      </c>
      <c r="AE65" t="b">
        <f t="shared" si="14"/>
        <v>0</v>
      </c>
    </row>
    <row r="66" spans="1:31">
      <c r="A66" s="2" t="s">
        <v>76</v>
      </c>
      <c r="B66" s="1">
        <v>16</v>
      </c>
      <c r="C66" s="1">
        <v>24</v>
      </c>
      <c r="D66" s="1">
        <v>4</v>
      </c>
      <c r="E66" s="1">
        <v>353</v>
      </c>
      <c r="F66" s="1">
        <v>1536</v>
      </c>
      <c r="G66" s="1">
        <v>2732.56</v>
      </c>
      <c r="H66" s="1">
        <v>10000000</v>
      </c>
      <c r="I66" s="1">
        <v>20.45</v>
      </c>
      <c r="J66" s="1">
        <v>10000000</v>
      </c>
      <c r="K66" s="1">
        <v>10000000</v>
      </c>
      <c r="L66" s="1">
        <v>16.32</v>
      </c>
      <c r="O66" t="b">
        <f t="shared" si="5"/>
        <v>0</v>
      </c>
      <c r="P66" t="b">
        <f t="shared" si="6"/>
        <v>0</v>
      </c>
      <c r="Q66" t="b">
        <f t="shared" si="7"/>
        <v>0</v>
      </c>
      <c r="R66" t="b">
        <f t="shared" si="8"/>
        <v>0</v>
      </c>
      <c r="S66" t="b">
        <f t="shared" si="9"/>
        <v>1</v>
      </c>
      <c r="U66" t="b">
        <f t="shared" si="10"/>
        <v>1</v>
      </c>
      <c r="V66" t="b">
        <f t="shared" ref="V66:Y66" si="15">(I66=MAX($H66:$L66))</f>
        <v>0</v>
      </c>
      <c r="W66" t="b">
        <f t="shared" si="15"/>
        <v>1</v>
      </c>
      <c r="X66" t="b">
        <f t="shared" si="15"/>
        <v>1</v>
      </c>
      <c r="Y66" t="b">
        <f t="shared" si="15"/>
        <v>0</v>
      </c>
      <c r="AA66" t="b">
        <f t="shared" si="11"/>
        <v>1</v>
      </c>
      <c r="AC66" t="b">
        <f t="shared" si="12"/>
        <v>0</v>
      </c>
      <c r="AD66" t="b">
        <f t="shared" si="13"/>
        <v>0</v>
      </c>
      <c r="AE66" t="b">
        <f t="shared" si="14"/>
        <v>1</v>
      </c>
    </row>
    <row r="67" spans="1:31">
      <c r="H67">
        <f>COUNTIF(H2:H66,10000000)</f>
        <v>10</v>
      </c>
      <c r="I67">
        <f>COUNTIF(I2:I66,10000000)</f>
        <v>0</v>
      </c>
      <c r="J67">
        <f>COUNTIF(J2:J66,10000000)</f>
        <v>5</v>
      </c>
      <c r="K67">
        <f>COUNTIF(K2:K66,10000000)</f>
        <v>6</v>
      </c>
      <c r="L67">
        <f>COUNTIF(L2:L66,10000000)</f>
        <v>2</v>
      </c>
      <c r="O67">
        <f>COUNTIF(O2:O66,TRUE)</f>
        <v>25</v>
      </c>
      <c r="P67">
        <f t="shared" ref="P67:S67" si="16">COUNTIF(P2:P66,TRUE)</f>
        <v>4</v>
      </c>
      <c r="Q67">
        <f t="shared" si="16"/>
        <v>21</v>
      </c>
      <c r="R67">
        <f t="shared" si="16"/>
        <v>16</v>
      </c>
      <c r="S67">
        <f t="shared" si="16"/>
        <v>22</v>
      </c>
      <c r="U67">
        <f>COUNTIF(U2:U66,TRUE)</f>
        <v>14</v>
      </c>
      <c r="V67">
        <f t="shared" ref="V67" si="17">COUNTIF(V2:V66,TRUE)</f>
        <v>43</v>
      </c>
      <c r="W67">
        <f t="shared" ref="W67" si="18">COUNTIF(W2:W66,TRUE)</f>
        <v>8</v>
      </c>
      <c r="X67">
        <f t="shared" ref="X67" si="19">COUNTIF(X2:X66,TRUE)</f>
        <v>6</v>
      </c>
      <c r="Y67">
        <f t="shared" ref="Y66:AC67" si="20">COUNTIF(Y2:Y66,TRUE)</f>
        <v>2</v>
      </c>
      <c r="AA67">
        <f t="shared" si="20"/>
        <v>37</v>
      </c>
      <c r="AC67">
        <f t="shared" si="20"/>
        <v>25</v>
      </c>
      <c r="AD67">
        <f t="shared" ref="AD67" si="21">COUNTIF(AD2:AD66,TRUE)</f>
        <v>7</v>
      </c>
      <c r="AE67">
        <f t="shared" ref="AE67" si="22">COUNTIF(AE2:AE66,TRUE)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Ramiz Gindullin</dc:creator>
  <cp:lastModifiedBy>Ramiz Gindullin</cp:lastModifiedBy>
  <dcterms:created xsi:type="dcterms:W3CDTF">2025-03-06T13:28:37Z</dcterms:created>
  <dcterms:modified xsi:type="dcterms:W3CDTF">2025-03-06T13:41:51Z</dcterms:modified>
</cp:coreProperties>
</file>